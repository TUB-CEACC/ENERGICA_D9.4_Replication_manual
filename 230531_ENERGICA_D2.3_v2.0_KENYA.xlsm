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Ex1.xml" ContentType="application/vnd.ms-office.chartex+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Ex2.xml" ContentType="application/vnd.ms-office.chartex+xml"/>
  <Override PartName="/xl/charts/style5.xml" ContentType="application/vnd.ms-office.chartstyle+xml"/>
  <Override PartName="/xl/charts/colors5.xml" ContentType="application/vnd.ms-office.chartcolorstyle+xml"/>
  <Override PartName="/xl/drawings/drawing7.xml" ContentType="application/vnd.openxmlformats-officedocument.drawing+xml"/>
  <Override PartName="/xl/charts/chartEx3.xml" ContentType="application/vnd.ms-office.chartex+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harts/chartEx4.xml" ContentType="application/vnd.ms-office.chartex+xml"/>
  <Override PartName="/xl/charts/style7.xml" ContentType="application/vnd.ms-office.chartstyle+xml"/>
  <Override PartName="/xl/charts/colors7.xml" ContentType="application/vnd.ms-office.chartcolorstyle+xml"/>
  <Override PartName="/xl/drawings/drawing9.xml" ContentType="application/vnd.openxmlformats-officedocument.drawing+xml"/>
  <Override PartName="/xl/charts/chartEx5.xml" ContentType="application/vnd.ms-office.chartex+xml"/>
  <Override PartName="/xl/charts/style8.xml" ContentType="application/vnd.ms-office.chartstyle+xml"/>
  <Override PartName="/xl/charts/colors8.xml" ContentType="application/vnd.ms-office.chartcolorstyle+xml"/>
  <Override PartName="/xl/drawings/drawing10.xml" ContentType="application/vnd.openxmlformats-officedocument.drawing+xml"/>
  <Override PartName="/xl/charts/chartEx6.xml" ContentType="application/vnd.ms-office.chartex+xml"/>
  <Override PartName="/xl/charts/style9.xml" ContentType="application/vnd.ms-office.chartstyle+xml"/>
  <Override PartName="/xl/charts/colors9.xml" ContentType="application/vnd.ms-office.chartcolorstyle+xml"/>
  <Override PartName="/xl/drawings/drawing11.xml" ContentType="application/vnd.openxmlformats-officedocument.drawing+xml"/>
  <Override PartName="/xl/charts/chartEx7.xml" ContentType="application/vnd.ms-office.chartex+xml"/>
  <Override PartName="/xl/charts/style10.xml" ContentType="application/vnd.ms-office.chartstyle+xml"/>
  <Override PartName="/xl/charts/colors10.xml" ContentType="application/vnd.ms-office.chartcolorstyle+xml"/>
  <Override PartName="/xl/drawings/drawing12.xml" ContentType="application/vnd.openxmlformats-officedocument.drawing+xml"/>
  <Override PartName="/xl/charts/chartEx8.xml" ContentType="application/vnd.ms-office.chartex+xml"/>
  <Override PartName="/xl/charts/style11.xml" ContentType="application/vnd.ms-office.chartstyle+xml"/>
  <Override PartName="/xl/charts/colors11.xml" ContentType="application/vnd.ms-office.chartcolorstyle+xml"/>
  <Override PartName="/xl/drawings/drawing13.xml" ContentType="application/vnd.openxmlformats-officedocument.drawing+xml"/>
  <Override PartName="/xl/charts/chartEx9.xml" ContentType="application/vnd.ms-office.chartex+xml"/>
  <Override PartName="/xl/charts/style12.xml" ContentType="application/vnd.ms-office.chartstyle+xml"/>
  <Override PartName="/xl/charts/colors12.xml" ContentType="application/vnd.ms-office.chartcolorstyle+xml"/>
  <Override PartName="/xl/drawings/drawing14.xml" ContentType="application/vnd.openxmlformats-officedocument.drawing+xml"/>
  <Override PartName="/xl/comments1.xml" ContentType="application/vnd.openxmlformats-officedocument.spreadsheetml.comments+xml"/>
  <Override PartName="/xl/charts/chartEx10.xml" ContentType="application/vnd.ms-office.chartex+xml"/>
  <Override PartName="/xl/charts/style13.xml" ContentType="application/vnd.ms-office.chartstyle+xml"/>
  <Override PartName="/xl/charts/colors13.xml" ContentType="application/vnd.ms-office.chartcolorstyle+xml"/>
  <Override PartName="/xl/drawings/drawing15.xml" ContentType="application/vnd.openxmlformats-officedocument.drawing+xml"/>
  <Override PartName="/xl/comments2.xml" ContentType="application/vnd.openxmlformats-officedocument.spreadsheetml.comments+xml"/>
  <Override PartName="/xl/charts/chartEx11.xml" ContentType="application/vnd.ms-office.chartex+xml"/>
  <Override PartName="/xl/charts/style14.xml" ContentType="application/vnd.ms-office.chartstyle+xml"/>
  <Override PartName="/xl/charts/colors14.xml" ContentType="application/vnd.ms-office.chartcolorstyle+xml"/>
  <Override PartName="/xl/drawings/drawing16.xml" ContentType="application/vnd.openxmlformats-officedocument.drawing+xml"/>
  <Override PartName="/xl/charts/chartEx12.xml" ContentType="application/vnd.ms-office.chartex+xml"/>
  <Override PartName="/xl/charts/style15.xml" ContentType="application/vnd.ms-office.chartstyle+xml"/>
  <Override PartName="/xl/charts/colors15.xml" ContentType="application/vnd.ms-office.chartcolorstyle+xml"/>
  <Override PartName="/xl/drawings/drawing17.xml" ContentType="application/vnd.openxmlformats-officedocument.drawing+xml"/>
  <Override PartName="/xl/charts/chartEx13.xml" ContentType="application/vnd.ms-office.chartex+xml"/>
  <Override PartName="/xl/charts/style16.xml" ContentType="application/vnd.ms-office.chartstyle+xml"/>
  <Override PartName="/xl/charts/colors16.xml" ContentType="application/vnd.ms-office.chartcolorstyle+xml"/>
  <Override PartName="/xl/drawings/drawing18.xml" ContentType="application/vnd.openxmlformats-officedocument.drawing+xml"/>
  <Override PartName="/xl/charts/chartEx14.xml" ContentType="application/vnd.ms-office.chartex+xml"/>
  <Override PartName="/xl/charts/style17.xml" ContentType="application/vnd.ms-office.chartstyle+xml"/>
  <Override PartName="/xl/charts/colors17.xml" ContentType="application/vnd.ms-office.chartcolorstyle+xml"/>
  <Override PartName="/xl/drawings/drawing19.xml" ContentType="application/vnd.openxmlformats-officedocument.drawing+xml"/>
  <Override PartName="/xl/charts/chartEx15.xml" ContentType="application/vnd.ms-office.chartex+xml"/>
  <Override PartName="/xl/charts/style18.xml" ContentType="application/vnd.ms-office.chartstyle+xml"/>
  <Override PartName="/xl/charts/colors18.xml" ContentType="application/vnd.ms-office.chartcolorstyle+xml"/>
  <Override PartName="/xl/drawings/drawing20.xml" ContentType="application/vnd.openxmlformats-officedocument.drawing+xml"/>
  <Override PartName="/xl/charts/chartEx16.xml" ContentType="application/vnd.ms-office.chartex+xml"/>
  <Override PartName="/xl/charts/style19.xml" ContentType="application/vnd.ms-office.chartstyle+xml"/>
  <Override PartName="/xl/charts/colors19.xml" ContentType="application/vnd.ms-office.chartcolorstyle+xml"/>
  <Override PartName="/xl/drawings/drawing21.xml" ContentType="application/vnd.openxmlformats-officedocument.drawing+xml"/>
  <Override PartName="/xl/charts/chartEx17.xml" ContentType="application/vnd.ms-office.chartex+xml"/>
  <Override PartName="/xl/charts/style20.xml" ContentType="application/vnd.ms-office.chartstyle+xml"/>
  <Override PartName="/xl/charts/colors20.xml" ContentType="application/vnd.ms-office.chartcolorstyle+xml"/>
  <Override PartName="/xl/drawings/drawing22.xml" ContentType="application/vnd.openxmlformats-officedocument.drawing+xml"/>
  <Override PartName="/xl/charts/chartEx18.xml" ContentType="application/vnd.ms-office.chartex+xml"/>
  <Override PartName="/xl/charts/style21.xml" ContentType="application/vnd.ms-office.chartstyle+xml"/>
  <Override PartName="/xl/charts/colors21.xml" ContentType="application/vnd.ms-office.chartcolorstyle+xml"/>
  <Override PartName="/xl/drawings/drawing23.xml" ContentType="application/vnd.openxmlformats-officedocument.drawing+xml"/>
  <Override PartName="/xl/charts/chartEx19.xml" ContentType="application/vnd.ms-office.chartex+xml"/>
  <Override PartName="/xl/charts/style22.xml" ContentType="application/vnd.ms-office.chartstyle+xml"/>
  <Override PartName="/xl/charts/colors22.xml" ContentType="application/vnd.ms-office.chartcolorstyle+xml"/>
  <Override PartName="/xl/drawings/drawing24.xml" ContentType="application/vnd.openxmlformats-officedocument.drawing+xml"/>
  <Override PartName="/xl/charts/chartEx20.xml" ContentType="application/vnd.ms-office.chartex+xml"/>
  <Override PartName="/xl/charts/style23.xml" ContentType="application/vnd.ms-office.chartstyle+xml"/>
  <Override PartName="/xl/charts/colors2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327" codeName="{37A63EE7-654F-3FA9-A528-636911D70600}"/>
  <workbookPr codeName="ThisWorkbook"/>
  <mc:AlternateContent xmlns:mc="http://schemas.openxmlformats.org/markup-compatibility/2006">
    <mc:Choice Requires="x15">
      <x15ac:absPath xmlns:x15ac="http://schemas.microsoft.com/office/spreadsheetml/2010/11/ac" url="https://d.docs.live.net/d6981608cac58dc2/Desktop/Desktop_new/Projekte/ENERGICA/Workpackages/WEP2/MCDA/MCDA_Submission_tools/"/>
    </mc:Choice>
  </mc:AlternateContent>
  <xr:revisionPtr revIDLastSave="0" documentId="8_{679E0F6D-9BFB-45E4-8D42-4195EC9DB7BC}" xr6:coauthVersionLast="47" xr6:coauthVersionMax="47" xr10:uidLastSave="{00000000-0000-0000-0000-000000000000}"/>
  <bookViews>
    <workbookView xWindow="57480" yWindow="-120" windowWidth="29040" windowHeight="15720" tabRatio="740" xr2:uid="{00000000-000D-0000-FFFF-FFFF00000000}"/>
  </bookViews>
  <sheets>
    <sheet name="User guide" sheetId="49" r:id="rId1"/>
    <sheet name="1. Criteria" sheetId="9" r:id="rId2"/>
    <sheet name="2. &amp; 3. Weighting" sheetId="41" r:id="rId3"/>
    <sheet name="4. Indicator_example" sheetId="51" r:id="rId4"/>
    <sheet name="Normalization" sheetId="42" state="hidden" r:id="rId5"/>
    <sheet name="Ranking_calc" sheetId="43" state="hidden" r:id="rId6"/>
    <sheet name="ECO1" sheetId="17" r:id="rId7"/>
    <sheet name="ECO2" sheetId="33" state="hidden" r:id="rId8"/>
    <sheet name="ECO3" sheetId="19" r:id="rId9"/>
    <sheet name="ECO4" sheetId="20" r:id="rId10"/>
    <sheet name="ECO5" sheetId="48" state="hidden" r:id="rId11"/>
    <sheet name="ENV1" sheetId="5" r:id="rId12"/>
    <sheet name="ENV2" sheetId="15" r:id="rId13"/>
    <sheet name="ENV3" sheetId="16" r:id="rId14"/>
    <sheet name="SOCI1" sheetId="21" r:id="rId15"/>
    <sheet name="SOCI2" sheetId="23" r:id="rId16"/>
    <sheet name="SOCI3" sheetId="22" r:id="rId17"/>
    <sheet name="SOCI4" sheetId="46" r:id="rId18"/>
    <sheet name="SOCI5" sheetId="47" r:id="rId19"/>
    <sheet name="TECH1" sheetId="24" r:id="rId20"/>
    <sheet name="TECH2" sheetId="25" r:id="rId21"/>
    <sheet name="TECH3" sheetId="26" r:id="rId22"/>
    <sheet name="TECH4" sheetId="40" r:id="rId23"/>
    <sheet name="TECH5" sheetId="38" state="hidden" r:id="rId24"/>
    <sheet name="RISK1" sheetId="39" r:id="rId25"/>
    <sheet name="RISK2" sheetId="27" r:id="rId26"/>
    <sheet name="RISK3" sheetId="44" r:id="rId27"/>
  </sheets>
  <definedNames>
    <definedName name="_xlchart.v1.0" hidden="1">'4. Indicator_example'!$D$21</definedName>
    <definedName name="_xlchart.v1.1" hidden="1">'4. Indicator_example'!$D$22:$D$25</definedName>
    <definedName name="_xlchart.v1.10" hidden="1">'ECO2'!$D$21</definedName>
    <definedName name="_xlchart.v1.11" hidden="1">'ECO2'!$D$22:$D$24</definedName>
    <definedName name="_xlchart.v1.12" hidden="1">'ECO2'!$F$21</definedName>
    <definedName name="_xlchart.v1.13" hidden="1">'ECO2'!$F$22:$F$24</definedName>
    <definedName name="_xlchart.v1.14" hidden="1">'ECO3'!$D$23</definedName>
    <definedName name="_xlchart.v1.15" hidden="1">'ECO3'!$D$24:$D$26</definedName>
    <definedName name="_xlchart.v1.16" hidden="1">'ECO3'!$F$23</definedName>
    <definedName name="_xlchart.v1.17" hidden="1">'ECO3'!$F$24:$F$26</definedName>
    <definedName name="_xlchart.v1.18" hidden="1">'ECO4'!$D$21:$E$21</definedName>
    <definedName name="_xlchart.v1.19" hidden="1">'ECO4'!$D$22:$D$23</definedName>
    <definedName name="_xlchart.v1.2" hidden="1">'4. Indicator_example'!$F$21</definedName>
    <definedName name="_xlchart.v1.20" hidden="1">'ECO4'!$F$21:$G$21</definedName>
    <definedName name="_xlchart.v1.21" hidden="1">'ECO4'!$F$22:$F$23</definedName>
    <definedName name="_xlchart.v1.22" hidden="1">'ECO5'!$D$21</definedName>
    <definedName name="_xlchart.v1.23" hidden="1">'ECO5'!$D$22:$D$27</definedName>
    <definedName name="_xlchart.v1.24" hidden="1">'ECO5'!$F$21</definedName>
    <definedName name="_xlchart.v1.25" hidden="1">'ECO5'!$F$22:$F$27</definedName>
    <definedName name="_xlchart.v1.26" hidden="1">'ENV1'!$D$20</definedName>
    <definedName name="_xlchart.v1.27" hidden="1">'ENV1'!$D$21:$D$26</definedName>
    <definedName name="_xlchart.v1.28" hidden="1">'ENV1'!$F$20</definedName>
    <definedName name="_xlchart.v1.29" hidden="1">'ENV1'!$F$21:$F$26</definedName>
    <definedName name="_xlchart.v1.3" hidden="1">'4. Indicator_example'!$F$22:$F$25</definedName>
    <definedName name="_xlchart.v1.30" hidden="1">'ENV2'!$D$21</definedName>
    <definedName name="_xlchart.v1.31" hidden="1">'ENV2'!$D$22:$D$24</definedName>
    <definedName name="_xlchart.v1.32" hidden="1">'ENV2'!$F$21</definedName>
    <definedName name="_xlchart.v1.33" hidden="1">'ENV2'!$F$22:$F$24</definedName>
    <definedName name="_xlchart.v1.34" hidden="1">'ENV3'!$D$22</definedName>
    <definedName name="_xlchart.v1.35" hidden="1">'ENV3'!$D$23:$D$25</definedName>
    <definedName name="_xlchart.v1.36" hidden="1">'ENV3'!$F$22</definedName>
    <definedName name="_xlchart.v1.37" hidden="1">'ENV3'!$F$23:$F$25</definedName>
    <definedName name="_xlchart.v1.38" hidden="1">SOCI1!$D$21</definedName>
    <definedName name="_xlchart.v1.39" hidden="1">SOCI1!$D$22:$D$25</definedName>
    <definedName name="_xlchart.v1.4" hidden="1">'4. Indicator_example'!$H$21</definedName>
    <definedName name="_xlchart.v1.40" hidden="1">SOCI1!$F$21</definedName>
    <definedName name="_xlchart.v1.41" hidden="1">SOCI1!$F$22:$F$25</definedName>
    <definedName name="_xlchart.v1.42" hidden="1">SOCI2!$D$21</definedName>
    <definedName name="_xlchart.v1.43" hidden="1">SOCI2!$D$22:$D$24</definedName>
    <definedName name="_xlchart.v1.44" hidden="1">SOCI2!$F$21</definedName>
    <definedName name="_xlchart.v1.45" hidden="1">SOCI2!$F$22:$F$24</definedName>
    <definedName name="_xlchart.v1.46" hidden="1">SOCI3!$D$21</definedName>
    <definedName name="_xlchart.v1.47" hidden="1">SOCI3!$D$22:$D$28</definedName>
    <definedName name="_xlchart.v1.48" hidden="1">SOCI3!$F$21</definedName>
    <definedName name="_xlchart.v1.49" hidden="1">SOCI3!$F$22:$F$28</definedName>
    <definedName name="_xlchart.v1.5" hidden="1">'4. Indicator_example'!$H$22:$H$25</definedName>
    <definedName name="_xlchart.v1.50" hidden="1">SOCI4!$D$21</definedName>
    <definedName name="_xlchart.v1.51" hidden="1">SOCI4!$D$22:$D$28</definedName>
    <definedName name="_xlchart.v1.52" hidden="1">SOCI4!$F$21</definedName>
    <definedName name="_xlchart.v1.53" hidden="1">SOCI4!$F$22:$F$28</definedName>
    <definedName name="_xlchart.v1.54" hidden="1">SOCI5!$D$21</definedName>
    <definedName name="_xlchart.v1.55" hidden="1">SOCI5!$D$22:$D$28</definedName>
    <definedName name="_xlchart.v1.56" hidden="1">SOCI5!$F$21</definedName>
    <definedName name="_xlchart.v1.57" hidden="1">SOCI5!$F$22:$F$28</definedName>
    <definedName name="_xlchart.v1.58" hidden="1">TECH1!$D$21</definedName>
    <definedName name="_xlchart.v1.59" hidden="1">TECH1!$D$22:$D$26</definedName>
    <definedName name="_xlchart.v1.6" hidden="1">'ECO1'!$D$21</definedName>
    <definedName name="_xlchart.v1.60" hidden="1">TECH1!$F$21</definedName>
    <definedName name="_xlchart.v1.61" hidden="1">TECH1!$F$22:$F$26</definedName>
    <definedName name="_xlchart.v1.62" hidden="1">TECH1!$D$21</definedName>
    <definedName name="_xlchart.v1.63" hidden="1">TECH1!$F$21</definedName>
    <definedName name="_xlchart.v1.64" hidden="1">TECH2!$E$21:$E$25</definedName>
    <definedName name="_xlchart.v1.65" hidden="1">TECH2!$G$21:$G$25</definedName>
    <definedName name="_xlchart.v1.66" hidden="1">TECH3!$D$21</definedName>
    <definedName name="_xlchart.v1.67" hidden="1">TECH3!$D$22:$D$31</definedName>
    <definedName name="_xlchart.v1.68" hidden="1">TECH3!$F$21</definedName>
    <definedName name="_xlchart.v1.69" hidden="1">TECH3!$F$22:$F$31</definedName>
    <definedName name="_xlchart.v1.7" hidden="1">'ECO1'!$D$22:$D$27</definedName>
    <definedName name="_xlchart.v1.70" hidden="1">TECH3!$F$21</definedName>
    <definedName name="_xlchart.v1.71" hidden="1">TECH4!$D$21</definedName>
    <definedName name="_xlchart.v1.72" hidden="1">TECH4!$D$22:$D$25</definedName>
    <definedName name="_xlchart.v1.73" hidden="1">TECH4!$F$22:$F$25</definedName>
    <definedName name="_xlchart.v1.8" hidden="1">'ECO1'!$F$21</definedName>
    <definedName name="_xlchart.v1.9" hidden="1">'ECO1'!$F$22:$F$27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8" i="44" l="1"/>
  <c r="D28" i="44"/>
  <c r="F32" i="27"/>
  <c r="D32" i="27"/>
  <c r="F30" i="40"/>
  <c r="D30" i="40"/>
  <c r="D20" i="25"/>
  <c r="F31" i="24"/>
  <c r="D31" i="24"/>
  <c r="Q16" i="41"/>
  <c r="F33" i="47"/>
  <c r="D33" i="47"/>
  <c r="P16" i="41"/>
  <c r="O16" i="41"/>
  <c r="F33" i="22"/>
  <c r="D33" i="22"/>
  <c r="C21" i="23"/>
  <c r="F29" i="23"/>
  <c r="D29" i="23"/>
  <c r="D31" i="5"/>
  <c r="E17" i="41"/>
  <c r="D30" i="5"/>
  <c r="F28" i="20"/>
  <c r="D28" i="20"/>
  <c r="F32" i="17"/>
  <c r="D32" i="17"/>
  <c r="H29" i="51"/>
  <c r="H30" i="51" s="1"/>
  <c r="F29" i="51"/>
  <c r="F30" i="51" s="1"/>
  <c r="D29" i="51"/>
  <c r="D30" i="51" s="1"/>
  <c r="H28" i="51"/>
  <c r="F28" i="51"/>
  <c r="D28" i="51"/>
  <c r="H27" i="51"/>
  <c r="F27" i="51"/>
  <c r="D27" i="51"/>
  <c r="H26" i="51"/>
  <c r="F26" i="51"/>
  <c r="D26" i="51"/>
  <c r="C21" i="51"/>
  <c r="Y4" i="41" l="1"/>
  <c r="X4" i="41"/>
  <c r="W4" i="41"/>
  <c r="V4" i="41"/>
  <c r="U4" i="41"/>
  <c r="T4" i="41"/>
  <c r="S4" i="41"/>
  <c r="R4" i="41"/>
  <c r="Q4" i="41"/>
  <c r="P4" i="41"/>
  <c r="O4" i="41"/>
  <c r="N4" i="41"/>
  <c r="M4" i="41"/>
  <c r="K4" i="41"/>
  <c r="J4" i="41"/>
  <c r="H4" i="41"/>
  <c r="G4" i="41"/>
  <c r="F4" i="41"/>
  <c r="E4" i="41"/>
  <c r="F13" i="49"/>
  <c r="F12" i="49"/>
  <c r="C17" i="43" l="1"/>
  <c r="C11" i="43"/>
  <c r="E9" i="42"/>
  <c r="F16" i="41"/>
  <c r="C2" i="17" l="1"/>
  <c r="G21" i="42" l="1"/>
  <c r="E21" i="42"/>
  <c r="O18" i="41"/>
  <c r="O17" i="41"/>
  <c r="L18" i="41"/>
  <c r="L17" i="41"/>
  <c r="L16" i="41"/>
  <c r="D27" i="44"/>
  <c r="D26" i="44"/>
  <c r="D25" i="44"/>
  <c r="D24" i="44"/>
  <c r="D31" i="27"/>
  <c r="D30" i="27"/>
  <c r="D29" i="27"/>
  <c r="D28" i="27"/>
  <c r="D27" i="39"/>
  <c r="D28" i="39" s="1"/>
  <c r="D26" i="39"/>
  <c r="D25" i="39"/>
  <c r="D24" i="39"/>
  <c r="D24" i="38"/>
  <c r="D23" i="38"/>
  <c r="D29" i="40"/>
  <c r="D28" i="40"/>
  <c r="D27" i="40"/>
  <c r="D26" i="40"/>
  <c r="D35" i="26"/>
  <c r="D34" i="26"/>
  <c r="D33" i="26"/>
  <c r="D32" i="26"/>
  <c r="E29" i="25"/>
  <c r="E28" i="25"/>
  <c r="E27" i="25"/>
  <c r="E26" i="25"/>
  <c r="D30" i="24"/>
  <c r="D29" i="24"/>
  <c r="D28" i="24"/>
  <c r="F32" i="47"/>
  <c r="F31" i="47"/>
  <c r="D32" i="47"/>
  <c r="F32" i="46"/>
  <c r="F31" i="46"/>
  <c r="D32" i="46"/>
  <c r="F32" i="22"/>
  <c r="F31" i="22"/>
  <c r="F30" i="22"/>
  <c r="F29" i="22"/>
  <c r="D32" i="22"/>
  <c r="D28" i="23"/>
  <c r="D27" i="23"/>
  <c r="D26" i="23"/>
  <c r="D25" i="23"/>
  <c r="F29" i="21"/>
  <c r="F30" i="21" s="1"/>
  <c r="F28" i="21"/>
  <c r="F27" i="21"/>
  <c r="F26" i="21"/>
  <c r="D29" i="21"/>
  <c r="D30" i="21" s="1"/>
  <c r="D28" i="21"/>
  <c r="D27" i="21"/>
  <c r="D26" i="21"/>
  <c r="F29" i="16"/>
  <c r="F30" i="16" s="1"/>
  <c r="G18" i="41" s="1"/>
  <c r="F28" i="16"/>
  <c r="F27" i="16"/>
  <c r="F26" i="16"/>
  <c r="D29" i="16"/>
  <c r="D30" i="16" s="1"/>
  <c r="G17" i="41" s="1"/>
  <c r="D28" i="16"/>
  <c r="D27" i="16"/>
  <c r="D26" i="16"/>
  <c r="D29" i="48"/>
  <c r="D28" i="19"/>
  <c r="D26" i="33"/>
  <c r="D28" i="17"/>
  <c r="F27" i="44"/>
  <c r="F31" i="27"/>
  <c r="F30" i="27"/>
  <c r="F29" i="27"/>
  <c r="F28" i="27"/>
  <c r="F27" i="39"/>
  <c r="F28" i="39" s="1"/>
  <c r="C2" i="39"/>
  <c r="F28" i="40"/>
  <c r="F29" i="40"/>
  <c r="F26" i="40"/>
  <c r="F31" i="48"/>
  <c r="D31" i="48"/>
  <c r="F30" i="48"/>
  <c r="D30" i="48"/>
  <c r="F29" i="48"/>
  <c r="F28" i="48"/>
  <c r="D28" i="48"/>
  <c r="C21" i="48"/>
  <c r="E7" i="42"/>
  <c r="F2" i="43"/>
  <c r="E2" i="43"/>
  <c r="O40" i="41"/>
  <c r="O39" i="41"/>
  <c r="G47" i="42"/>
  <c r="G45" i="42"/>
  <c r="E47" i="42"/>
  <c r="E45" i="42"/>
  <c r="F28" i="19"/>
  <c r="G31" i="42"/>
  <c r="G29" i="42"/>
  <c r="E31" i="42"/>
  <c r="E29" i="42"/>
  <c r="E30" i="42" s="1"/>
  <c r="E48" i="42" l="1"/>
  <c r="E43" i="43" s="1"/>
  <c r="E46" i="42"/>
  <c r="E41" i="43" s="1"/>
  <c r="G48" i="42"/>
  <c r="F43" i="43" s="1"/>
  <c r="G46" i="42"/>
  <c r="F41" i="43" s="1"/>
  <c r="G30" i="42"/>
  <c r="F25" i="43" s="1"/>
  <c r="E32" i="42"/>
  <c r="E27" i="43" s="1"/>
  <c r="E22" i="42"/>
  <c r="E17" i="43" s="1"/>
  <c r="G22" i="42"/>
  <c r="F17" i="43" s="1"/>
  <c r="G32" i="42"/>
  <c r="F27" i="43" s="1"/>
  <c r="E25" i="43"/>
  <c r="Y18" i="41"/>
  <c r="Y17" i="41"/>
  <c r="Q18" i="41"/>
  <c r="Q17" i="41"/>
  <c r="Y16" i="41" l="1"/>
  <c r="X16" i="41"/>
  <c r="W16" i="41"/>
  <c r="V16" i="41"/>
  <c r="U16" i="41"/>
  <c r="X18" i="41"/>
  <c r="X17" i="41"/>
  <c r="C21" i="40"/>
  <c r="G29" i="25"/>
  <c r="G30" i="25" s="1"/>
  <c r="E30" i="25"/>
  <c r="G28" i="25"/>
  <c r="G27" i="25"/>
  <c r="G26" i="25"/>
  <c r="C20" i="25"/>
  <c r="F27" i="20"/>
  <c r="F26" i="20"/>
  <c r="D29" i="19"/>
  <c r="C2" i="44"/>
  <c r="C2" i="27"/>
  <c r="C2" i="38"/>
  <c r="C2" i="40"/>
  <c r="C2" i="26"/>
  <c r="D2" i="25"/>
  <c r="C2" i="24"/>
  <c r="C2" i="47"/>
  <c r="C2" i="46"/>
  <c r="C2" i="22"/>
  <c r="C14" i="22"/>
  <c r="C2" i="23"/>
  <c r="C2" i="21"/>
  <c r="C2" i="20"/>
  <c r="C2" i="19"/>
  <c r="C2" i="33"/>
  <c r="C2" i="15"/>
  <c r="C2" i="16"/>
  <c r="C2" i="5"/>
  <c r="F30" i="47"/>
  <c r="F29" i="47"/>
  <c r="F33" i="46"/>
  <c r="P18" i="41" s="1"/>
  <c r="D33" i="46"/>
  <c r="P17" i="41" s="1"/>
  <c r="F30" i="46"/>
  <c r="F29" i="46"/>
  <c r="F26" i="44"/>
  <c r="F25" i="44"/>
  <c r="F24" i="44"/>
  <c r="C21" i="44"/>
  <c r="C21" i="33"/>
  <c r="D25" i="33"/>
  <c r="F25" i="33"/>
  <c r="F26" i="33"/>
  <c r="D27" i="33"/>
  <c r="F27" i="33"/>
  <c r="D28" i="33"/>
  <c r="F28" i="33"/>
  <c r="I17" i="41"/>
  <c r="F31" i="17"/>
  <c r="D31" i="46" l="1"/>
  <c r="D30" i="46"/>
  <c r="D29" i="46"/>
  <c r="D31" i="47"/>
  <c r="D30" i="47"/>
  <c r="D29" i="47"/>
  <c r="F47" i="43" l="1"/>
  <c r="E47" i="43"/>
  <c r="G43" i="42"/>
  <c r="E43" i="42"/>
  <c r="G41" i="42"/>
  <c r="E41" i="42"/>
  <c r="G39" i="42"/>
  <c r="E39" i="42"/>
  <c r="G37" i="42"/>
  <c r="E37" i="42"/>
  <c r="G35" i="42"/>
  <c r="E35" i="42"/>
  <c r="G33" i="42"/>
  <c r="E33" i="42"/>
  <c r="G27" i="42"/>
  <c r="E27" i="42"/>
  <c r="G25" i="42"/>
  <c r="E25" i="42"/>
  <c r="G23" i="42"/>
  <c r="E23" i="42"/>
  <c r="G19" i="42"/>
  <c r="E19" i="42"/>
  <c r="G17" i="42"/>
  <c r="E17" i="42"/>
  <c r="G15" i="42"/>
  <c r="E15" i="42"/>
  <c r="G13" i="42"/>
  <c r="E13" i="42"/>
  <c r="G11" i="42"/>
  <c r="E11" i="42"/>
  <c r="G9" i="42"/>
  <c r="E10" i="42" s="1"/>
  <c r="G7" i="42"/>
  <c r="E8" i="42" s="1"/>
  <c r="W18" i="41"/>
  <c r="W17" i="41"/>
  <c r="V18" i="41"/>
  <c r="V17" i="41"/>
  <c r="T18" i="41"/>
  <c r="S18" i="41"/>
  <c r="N18" i="41"/>
  <c r="M18" i="41"/>
  <c r="I18" i="41"/>
  <c r="H18" i="41"/>
  <c r="T17" i="41"/>
  <c r="S17" i="41"/>
  <c r="N17" i="41"/>
  <c r="M17" i="41"/>
  <c r="H17" i="41"/>
  <c r="T16" i="41"/>
  <c r="S16" i="41"/>
  <c r="R16" i="41"/>
  <c r="N16" i="41"/>
  <c r="M16" i="41"/>
  <c r="I16" i="41"/>
  <c r="E16" i="41"/>
  <c r="D15" i="41"/>
  <c r="H15" i="41" s="1"/>
  <c r="C9" i="43" s="1"/>
  <c r="F26" i="39"/>
  <c r="F25" i="39"/>
  <c r="F24" i="39"/>
  <c r="F24" i="38"/>
  <c r="F23" i="38"/>
  <c r="F22" i="38"/>
  <c r="D22" i="38"/>
  <c r="F21" i="38"/>
  <c r="D21" i="38"/>
  <c r="R17" i="41"/>
  <c r="D27" i="24"/>
  <c r="G42" i="42" l="1"/>
  <c r="F37" i="43" s="1"/>
  <c r="G24" i="42"/>
  <c r="G44" i="42"/>
  <c r="G12" i="42"/>
  <c r="E12" i="42"/>
  <c r="E16" i="42"/>
  <c r="G16" i="42"/>
  <c r="G38" i="42"/>
  <c r="E38" i="42"/>
  <c r="E24" i="42"/>
  <c r="E44" i="42"/>
  <c r="E34" i="42"/>
  <c r="G34" i="42"/>
  <c r="E40" i="42"/>
  <c r="E26" i="42"/>
  <c r="G40" i="42"/>
  <c r="E28" i="42"/>
  <c r="G28" i="42"/>
  <c r="G18" i="42"/>
  <c r="E18" i="42"/>
  <c r="G10" i="42"/>
  <c r="G14" i="42"/>
  <c r="E14" i="42"/>
  <c r="G26" i="42"/>
  <c r="E36" i="42"/>
  <c r="G8" i="42"/>
  <c r="E20" i="42"/>
  <c r="E15" i="43" s="1"/>
  <c r="G20" i="42"/>
  <c r="G36" i="42"/>
  <c r="E42" i="42"/>
  <c r="J15" i="41"/>
  <c r="C13" i="43" s="1"/>
  <c r="K15" i="41"/>
  <c r="C15" i="43" s="1"/>
  <c r="M15" i="41"/>
  <c r="C19" i="43" s="1"/>
  <c r="W15" i="41"/>
  <c r="C39" i="43" s="1"/>
  <c r="S15" i="41"/>
  <c r="C31" i="43" s="1"/>
  <c r="E15" i="41"/>
  <c r="C3" i="43" s="1"/>
  <c r="V15" i="41"/>
  <c r="C37" i="43" s="1"/>
  <c r="R15" i="41"/>
  <c r="C29" i="43" s="1"/>
  <c r="X15" i="41"/>
  <c r="C41" i="43" s="1"/>
  <c r="T15" i="41"/>
  <c r="C33" i="43" s="1"/>
  <c r="P15" i="41"/>
  <c r="C25" i="43" s="1"/>
  <c r="Y15" i="41"/>
  <c r="C43" i="43" s="1"/>
  <c r="U15" i="41"/>
  <c r="C35" i="43" s="1"/>
  <c r="Q15" i="41"/>
  <c r="C27" i="43" s="1"/>
  <c r="N15" i="41"/>
  <c r="C21" i="43" s="1"/>
  <c r="O15" i="41"/>
  <c r="C23" i="43" s="1"/>
  <c r="F15" i="41"/>
  <c r="C5" i="43" s="1"/>
  <c r="G15" i="41"/>
  <c r="C7" i="43" s="1"/>
  <c r="F30" i="5"/>
  <c r="F31" i="5" s="1"/>
  <c r="F29" i="5"/>
  <c r="D31" i="17"/>
  <c r="D30" i="17"/>
  <c r="D29" i="17"/>
  <c r="U18" i="41"/>
  <c r="F28" i="5"/>
  <c r="F27" i="5"/>
  <c r="E18" i="41" l="1"/>
  <c r="C46" i="43"/>
  <c r="E42" i="43"/>
  <c r="E18" i="43"/>
  <c r="F18" i="43"/>
  <c r="F38" i="43"/>
  <c r="F7" i="43"/>
  <c r="F8" i="43" s="1"/>
  <c r="E23" i="43"/>
  <c r="E19" i="43"/>
  <c r="E20" i="43" s="1"/>
  <c r="E35" i="43"/>
  <c r="E36" i="43" s="1"/>
  <c r="E5" i="43"/>
  <c r="E6" i="43" s="1"/>
  <c r="E3" i="43"/>
  <c r="F3" i="43"/>
  <c r="E11" i="43"/>
  <c r="E12" i="43" s="1"/>
  <c r="F9" i="43"/>
  <c r="F10" i="43" s="1"/>
  <c r="E39" i="43"/>
  <c r="F5" i="43"/>
  <c r="F6" i="43" s="1"/>
  <c r="E13" i="43"/>
  <c r="E14" i="43" s="1"/>
  <c r="F29" i="43"/>
  <c r="F30" i="43" s="1"/>
  <c r="E33" i="43"/>
  <c r="E34" i="43" s="1"/>
  <c r="E21" i="43"/>
  <c r="E7" i="43"/>
  <c r="E8" i="43" s="1"/>
  <c r="E16" i="43"/>
  <c r="F23" i="43"/>
  <c r="F19" i="43"/>
  <c r="F20" i="43" s="1"/>
  <c r="F13" i="43"/>
  <c r="F14" i="43" s="1"/>
  <c r="E9" i="43"/>
  <c r="E10" i="43" s="1"/>
  <c r="F11" i="43"/>
  <c r="F12" i="43" s="1"/>
  <c r="E29" i="43"/>
  <c r="E30" i="43" s="1"/>
  <c r="E37" i="43"/>
  <c r="E38" i="43" s="1"/>
  <c r="F35" i="43"/>
  <c r="F36" i="43" s="1"/>
  <c r="F21" i="43"/>
  <c r="F31" i="43"/>
  <c r="F32" i="43" s="1"/>
  <c r="F33" i="43"/>
  <c r="F34" i="43" s="1"/>
  <c r="E31" i="43"/>
  <c r="E32" i="43" s="1"/>
  <c r="F15" i="43"/>
  <c r="F16" i="43" s="1"/>
  <c r="F39" i="43"/>
  <c r="U17" i="41"/>
  <c r="F27" i="40"/>
  <c r="F48" i="43" l="1"/>
  <c r="E4" i="43"/>
  <c r="F4" i="43"/>
  <c r="F42" i="43"/>
  <c r="E22" i="43"/>
  <c r="F22" i="43"/>
  <c r="F40" i="43"/>
  <c r="F24" i="43"/>
  <c r="E26" i="43"/>
  <c r="F26" i="43"/>
  <c r="E40" i="43"/>
  <c r="E44" i="43"/>
  <c r="F44" i="43"/>
  <c r="E24" i="43"/>
  <c r="F28" i="43"/>
  <c r="E28" i="43"/>
  <c r="F34" i="26"/>
  <c r="F33" i="26"/>
  <c r="F35" i="26"/>
  <c r="F32" i="26"/>
  <c r="F51" i="43" l="1"/>
  <c r="J13" i="49" s="1"/>
  <c r="E51" i="43"/>
  <c r="J12" i="49" s="1"/>
  <c r="E48" i="43"/>
  <c r="E49" i="43" s="1"/>
  <c r="F50" i="43"/>
  <c r="E50" i="43"/>
  <c r="S40" i="41" l="1"/>
  <c r="S39" i="41"/>
  <c r="T39" i="41"/>
  <c r="K12" i="49"/>
  <c r="T40" i="41"/>
  <c r="K13" i="49"/>
  <c r="R39" i="41"/>
  <c r="I12" i="49"/>
  <c r="F49" i="43"/>
  <c r="F30" i="24"/>
  <c r="R18" i="41" s="1"/>
  <c r="F29" i="24"/>
  <c r="F27" i="24"/>
  <c r="F28" i="24"/>
  <c r="R40" i="41" l="1"/>
  <c r="I13" i="49"/>
  <c r="D30" i="22" l="1"/>
  <c r="D29" i="22"/>
  <c r="D31" i="22"/>
  <c r="C21" i="27" l="1"/>
  <c r="D26" i="20" l="1"/>
  <c r="D27" i="20"/>
  <c r="K17" i="41" s="1"/>
  <c r="D27" i="15" l="1"/>
  <c r="D28" i="15" l="1"/>
  <c r="D29" i="15" s="1"/>
  <c r="F17" i="41" s="1"/>
  <c r="F27" i="15"/>
  <c r="F28" i="15"/>
  <c r="F29" i="15" s="1"/>
  <c r="F18" i="41" s="1"/>
  <c r="F26" i="15"/>
  <c r="D26" i="15"/>
  <c r="D25" i="15"/>
  <c r="F25" i="15"/>
  <c r="D29" i="5" l="1"/>
  <c r="D27" i="5"/>
  <c r="D28" i="5"/>
  <c r="D27" i="19" l="1"/>
  <c r="D30" i="19"/>
  <c r="D31" i="19" s="1"/>
  <c r="J17" i="41" s="1"/>
  <c r="F29" i="19"/>
  <c r="F30" i="19"/>
  <c r="F31" i="19" s="1"/>
  <c r="J18" i="41" s="1"/>
  <c r="F27" i="19"/>
  <c r="F29" i="17" l="1"/>
  <c r="F30" i="17"/>
  <c r="F28" i="17"/>
  <c r="F28" i="23"/>
  <c r="F27" i="23"/>
  <c r="C21" i="24" l="1"/>
  <c r="F26" i="23"/>
  <c r="F25" i="23"/>
  <c r="C21" i="21"/>
  <c r="K18" i="41" l="1"/>
  <c r="F25" i="20"/>
  <c r="D25" i="20"/>
  <c r="F24" i="20"/>
  <c r="D24" i="20"/>
  <c r="H89" i="19"/>
  <c r="F89" i="19"/>
  <c r="D89" i="19"/>
  <c r="H88" i="19"/>
  <c r="F88" i="19"/>
  <c r="D88" i="19"/>
  <c r="H87" i="19"/>
  <c r="F87" i="19"/>
  <c r="D87" i="19"/>
  <c r="H86" i="19"/>
  <c r="F86" i="19"/>
  <c r="D86" i="19"/>
  <c r="C36" i="19"/>
  <c r="C21" i="17"/>
  <c r="G16" i="41"/>
  <c r="C21" i="15"/>
  <c r="C20" i="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Niger 2021</author>
  </authors>
  <commentList>
    <comment ref="D15" authorId="0" shapeId="0" xr:uid="{00000000-0006-0000-0A00-000001000000}">
      <text>
        <r>
          <rPr>
            <b/>
            <sz val="9"/>
            <color indexed="81"/>
            <rFont val="Tahoma"/>
            <family val="2"/>
          </rPr>
          <t>BONKANEY comment:</t>
        </r>
        <r>
          <rPr>
            <sz val="9"/>
            <color indexed="81"/>
            <rFont val="Tahoma"/>
            <family val="2"/>
          </rPr>
          <t xml:space="preserve">
Data from the basline assessment.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Niger 2021</author>
  </authors>
  <commentList>
    <comment ref="D15" authorId="0" shapeId="0" xr:uid="{00000000-0006-0000-0B00-000001000000}">
      <text>
        <r>
          <rPr>
            <b/>
            <sz val="9"/>
            <color indexed="81"/>
            <rFont val="Tahoma"/>
            <family val="2"/>
          </rPr>
          <t>Niger 2021:</t>
        </r>
        <r>
          <rPr>
            <sz val="9"/>
            <color indexed="81"/>
            <rFont val="Tahoma"/>
            <family val="2"/>
          </rPr>
          <t xml:space="preserve">
Data from the pilot study, Nanoé for the Malagasy context</t>
        </r>
      </text>
    </comment>
  </commentList>
</comments>
</file>

<file path=xl/sharedStrings.xml><?xml version="1.0" encoding="utf-8"?>
<sst xmlns="http://schemas.openxmlformats.org/spreadsheetml/2006/main" count="1373" uniqueCount="362">
  <si>
    <t>ENV1</t>
  </si>
  <si>
    <t xml:space="preserve">  Dimension</t>
  </si>
  <si>
    <t xml:space="preserve">  Indicator type</t>
  </si>
  <si>
    <t xml:space="preserve"> </t>
  </si>
  <si>
    <t xml:space="preserve">  Topic(s)</t>
  </si>
  <si>
    <t xml:space="preserve">  Measure</t>
  </si>
  <si>
    <t xml:space="preserve">  PURPOSE</t>
  </si>
  <si>
    <t xml:space="preserve">  </t>
  </si>
  <si>
    <t xml:space="preserve">  ASSESSMENT METHODOLOGY</t>
  </si>
  <si>
    <t xml:space="preserve">  Background</t>
  </si>
  <si>
    <r>
      <t xml:space="preserve">  </t>
    </r>
    <r>
      <rPr>
        <b/>
        <sz val="10"/>
        <color theme="1"/>
        <rFont val="Liberation Sans"/>
        <family val="2"/>
      </rPr>
      <t>Relevance</t>
    </r>
  </si>
  <si>
    <t>BG</t>
  </si>
  <si>
    <t>DG</t>
  </si>
  <si>
    <t>WP</t>
  </si>
  <si>
    <t>Technology</t>
  </si>
  <si>
    <t>Low</t>
  </si>
  <si>
    <t>High</t>
  </si>
  <si>
    <t>Corrected</t>
  </si>
  <si>
    <t>Average</t>
  </si>
  <si>
    <t xml:space="preserve">  DATA</t>
  </si>
  <si>
    <t xml:space="preserve">  General data</t>
  </si>
  <si>
    <t>Angola</t>
  </si>
  <si>
    <t>Burundi</t>
  </si>
  <si>
    <t>DRC</t>
  </si>
  <si>
    <t>Cameroon</t>
  </si>
  <si>
    <t>Central African Republic</t>
  </si>
  <si>
    <t>Chad</t>
  </si>
  <si>
    <t>Republic of the Congo</t>
  </si>
  <si>
    <t>Equatorial Guinea</t>
  </si>
  <si>
    <t>Gabon</t>
  </si>
  <si>
    <t>Kenya</t>
  </si>
  <si>
    <t>Nigeria</t>
  </si>
  <si>
    <t>Rwanda</t>
  </si>
  <si>
    <t>São Tomé and Principe</t>
  </si>
  <si>
    <t>Tanzania</t>
  </si>
  <si>
    <t>Uganda</t>
  </si>
  <si>
    <t>Sudan</t>
  </si>
  <si>
    <t>South Sudan</t>
  </si>
  <si>
    <t>Djibouti</t>
  </si>
  <si>
    <t>Eritrea</t>
  </si>
  <si>
    <t>Ethiopia</t>
  </si>
  <si>
    <t>Somalia</t>
  </si>
  <si>
    <t>Botswana</t>
  </si>
  <si>
    <t>Comoros</t>
  </si>
  <si>
    <t>Lesotho</t>
  </si>
  <si>
    <t>Madagascar</t>
  </si>
  <si>
    <t>Malawi</t>
  </si>
  <si>
    <t>Mauritius</t>
  </si>
  <si>
    <t>Mozambique</t>
  </si>
  <si>
    <t>Namibia</t>
  </si>
  <si>
    <t>Seychelles</t>
  </si>
  <si>
    <t>South Africa</t>
  </si>
  <si>
    <t>Swaziland</t>
  </si>
  <si>
    <t>Zambia</t>
  </si>
  <si>
    <t>Zimbabwe</t>
  </si>
  <si>
    <t>Benin</t>
  </si>
  <si>
    <t>Mali</t>
  </si>
  <si>
    <t>Burkina Faso</t>
  </si>
  <si>
    <t>Cape Verde</t>
  </si>
  <si>
    <t>Ivory Coast</t>
  </si>
  <si>
    <t>Gambia</t>
  </si>
  <si>
    <t>Ghana</t>
  </si>
  <si>
    <t>Guinea</t>
  </si>
  <si>
    <t>Guinea-Bissau</t>
  </si>
  <si>
    <t>Liberia</t>
  </si>
  <si>
    <t>Mauritania</t>
  </si>
  <si>
    <t>Niger</t>
  </si>
  <si>
    <t>Senegal</t>
  </si>
  <si>
    <t>Sierra Leone</t>
  </si>
  <si>
    <t>Togo</t>
  </si>
  <si>
    <t>Country-specific data</t>
  </si>
  <si>
    <t>Median</t>
  </si>
  <si>
    <t>Indicator</t>
  </si>
  <si>
    <t>Data</t>
  </si>
  <si>
    <t>Norm.</t>
  </si>
  <si>
    <t>TECH1</t>
  </si>
  <si>
    <t>ECO1</t>
  </si>
  <si>
    <t>ECO2</t>
  </si>
  <si>
    <t>ECO4</t>
  </si>
  <si>
    <t>ECO3</t>
  </si>
  <si>
    <t xml:space="preserve">  Normalized scorings</t>
  </si>
  <si>
    <t>+</t>
  </si>
  <si>
    <t>-</t>
  </si>
  <si>
    <t>TECH3</t>
  </si>
  <si>
    <t>Remarks</t>
  </si>
  <si>
    <t>Human health</t>
  </si>
  <si>
    <t>%</t>
  </si>
  <si>
    <t>ENV2</t>
  </si>
  <si>
    <t>ENV3</t>
  </si>
  <si>
    <t>TECH2</t>
  </si>
  <si>
    <t>TECH4</t>
  </si>
  <si>
    <t xml:space="preserve">  Indicators</t>
  </si>
  <si>
    <t>Included</t>
  </si>
  <si>
    <t>#</t>
  </si>
  <si>
    <t>Type</t>
  </si>
  <si>
    <t>Renewable</t>
  </si>
  <si>
    <t>Y</t>
  </si>
  <si>
    <t>N</t>
  </si>
  <si>
    <t>Environmental</t>
  </si>
  <si>
    <t>Climate change</t>
  </si>
  <si>
    <t>Economic</t>
  </si>
  <si>
    <t>Technical</t>
  </si>
  <si>
    <t>Dimension(s)</t>
  </si>
  <si>
    <t>Topic(s)</t>
  </si>
  <si>
    <t>Purpose</t>
  </si>
  <si>
    <t>Quantitative</t>
  </si>
  <si>
    <t xml:space="preserve">  Geographic variations</t>
  </si>
  <si>
    <t>Yes</t>
  </si>
  <si>
    <t>No</t>
  </si>
  <si>
    <t>ENV</t>
  </si>
  <si>
    <t>TECH</t>
  </si>
  <si>
    <t xml:space="preserve">  Min-max normalization</t>
  </si>
  <si>
    <t>SOCI1</t>
  </si>
  <si>
    <t>SOCI2</t>
  </si>
  <si>
    <t>Socio-Institutional</t>
  </si>
  <si>
    <t>SOCI3</t>
  </si>
  <si>
    <t>Equal weights</t>
  </si>
  <si>
    <t>Indic</t>
  </si>
  <si>
    <t>Corr.</t>
  </si>
  <si>
    <t>WN</t>
  </si>
  <si>
    <t>Ranking N</t>
  </si>
  <si>
    <t>Worst</t>
  </si>
  <si>
    <t>Best</t>
  </si>
  <si>
    <t>Custom</t>
  </si>
  <si>
    <t>SOCI</t>
  </si>
  <si>
    <t>Rank
Norm.</t>
  </si>
  <si>
    <t># Worst</t>
  </si>
  <si>
    <t># Best</t>
  </si>
  <si>
    <t>Chosen weights</t>
  </si>
  <si>
    <t xml:space="preserve">Weights applied   </t>
  </si>
  <si>
    <t xml:space="preserve">  Measurement</t>
  </si>
  <si>
    <t xml:space="preserve">  Definition</t>
  </si>
  <si>
    <t>Resources</t>
  </si>
  <si>
    <t>Qualitative</t>
  </si>
  <si>
    <t>Ecosystems</t>
  </si>
  <si>
    <t>1 to 3</t>
  </si>
  <si>
    <t>Price performance</t>
  </si>
  <si>
    <t>Cultural adequacy</t>
  </si>
  <si>
    <t>Technical performance</t>
  </si>
  <si>
    <t>Sustainability Scorings</t>
  </si>
  <si>
    <t>Implication of the local community is of prime importance for the sustainability of systems: lots of projects have failed in the past because the technology was not popular among the population, and for instance led to changes in their habits they could not cope with.</t>
  </si>
  <si>
    <t>TECH5</t>
  </si>
  <si>
    <t>XXX</t>
  </si>
  <si>
    <t>A</t>
  </si>
  <si>
    <t>B</t>
  </si>
  <si>
    <t>E</t>
  </si>
  <si>
    <t>F</t>
  </si>
  <si>
    <t>G</t>
  </si>
  <si>
    <t>H</t>
  </si>
  <si>
    <t>I</t>
  </si>
  <si>
    <t>Ind_7</t>
  </si>
  <si>
    <t>Ind_10</t>
  </si>
  <si>
    <t xml:space="preserve">  Measure/Unit</t>
  </si>
  <si>
    <t xml:space="preserve">  Data acquisition</t>
  </si>
  <si>
    <t>E.g. data for Kenya</t>
  </si>
  <si>
    <t>Source</t>
  </si>
  <si>
    <t>Values from data acquisition research</t>
  </si>
  <si>
    <t>So far weighted sum --&gt; need to adjust?</t>
  </si>
  <si>
    <t>Net present value</t>
  </si>
  <si>
    <t>Flexibility</t>
  </si>
  <si>
    <t>SOCI4</t>
  </si>
  <si>
    <t>SOCI5</t>
  </si>
  <si>
    <t>Acceptability</t>
  </si>
  <si>
    <t>Awareness</t>
  </si>
  <si>
    <t>Health damage</t>
  </si>
  <si>
    <t>Social benefits</t>
  </si>
  <si>
    <t>Expertise</t>
  </si>
  <si>
    <t>Safety</t>
  </si>
  <si>
    <t>GHG emissions and GWP</t>
  </si>
  <si>
    <t>NMVOC</t>
  </si>
  <si>
    <t>Risks</t>
  </si>
  <si>
    <t>RISK1</t>
  </si>
  <si>
    <t>RISK2</t>
  </si>
  <si>
    <t>RISK3</t>
  </si>
  <si>
    <t>External supply risks</t>
  </si>
  <si>
    <t>Resource supply risks</t>
  </si>
  <si>
    <t>Payback period</t>
  </si>
  <si>
    <t>Ecosystems
Human health</t>
  </si>
  <si>
    <t>Lifecycle emissions of greenhouse gases (in CO2 equivalents) per unit of energy.</t>
  </si>
  <si>
    <t>gCO2-eq. /kWh</t>
  </si>
  <si>
    <t>The energy sector contributes to 30% of the global GHG emissions. Carbon neutral 
energy production is one of the main goals of the international community for the next decades, for CO2-neutrality to be reached as of 2050.</t>
  </si>
  <si>
    <t>A commonly used parameter in LCA is the Global Warming Potential (GWP). A large diversity of elements contributes to the greenhouse effect (of course CO2 but also CH4, CO, NOx, SOx…). To be able to compare their impacts, their respective influences on climate change are expressed in a same unit (CO2-equivalent), named GWP.
More specific to energy systems, derived from the GWP, is the Emission Factor (EF), 
expressed in kgCO2,eq/MWh, in other words the carbon intensity of the technology.
It is crucial to assess GHG emissions along the whole lifecycle of the systems.</t>
  </si>
  <si>
    <t>A cradle-to-grave approach is adopted. Data should reflect the emissions along the whole lifecycle: land use change, manufacture of the equipment, transport, energy production, energy use. Those parameters vary a lot depending on the particular context, but general tendencies can still be determined.</t>
  </si>
  <si>
    <t>Non-methane volatile organic compounds (NMVOCs) are a collection of organic compounds that differ widely in their chemical composition but display similar behaviour in the atmosphere. NMVOCs are emitted into the atmosphere from a large number of sources including combustion activities, solvent use and production processes. NMVOCs contribute to the formation of ground level (tropospheric) ozone. In addition, certain NMVOC species or species groups such as benzene and 1,3 butadiene are hazardous to human health. Quantifying the emissions of total NMVOCs provides an indicator of the emission trends of the most hazardous NMVOCs.</t>
  </si>
  <si>
    <t>Recommended methodologies for emission inventory estimation are compiled in the EMEP/EEA Air Pollutant Emission Inventory Guidebook, (EMEP/EEA, 2009). Base data are available from the EEA Data Service (http://dataservice.eea.europa.eu/dataservice/metadetails.asp?id=1096) and the EMEP web site (http://www.ceip.at/). Where necessary, gaps in reported data are filled by ETC/ACC using simple interpolation techniques (see below). The final gap-filled data used in this indicator are available from the EEA Data Service (http://dataservice.eea.europa.eu/PivotApp/pivot.aspx?pivotid=478)</t>
  </si>
  <si>
    <t xml:space="preserve">The NPV is Also called as net present worth (NPV), and is defined as the total present value of a time series of cash flows. </t>
  </si>
  <si>
    <t>The NPV is a standard method for using the time value of money to appraise long-term energy projects. Used for capital budgeting, and widely throughout economics, it measures the excess or shortfall of cash flows, in present value terms, once financing charges are met. NPV is often used to assess the feasibility of an energy project by investors. It is also necessarily considered in the early stage of energy DM.</t>
  </si>
  <si>
    <t>When analyzing a longer-term project with multiple cash-flows, the formula of the NPV is 
with Rt as net cash inflow-outflows in a single period
i as discout rate
t as number of time periods</t>
  </si>
  <si>
    <t>The payback period intuitively measures how long something takes to ‘‘pay for itself’’; shorter payback periods are obviously preferable to longer payback periods to investors.</t>
  </si>
  <si>
    <t>To calculate the payback period you can apply the simple formula
Payback Period = Initial investment / Cash flow per year</t>
  </si>
  <si>
    <t>Acceptance is defined by Wüstenhagel &amp; al. [79] as a 3-dimensional component:
• Community acceptance (of projects, by the consumers)
• Socio-political acceptance (of technologies and policies, by the public, policy 
makers, key actors)
• Market acceptance (by consumers, investors, firms)
It can be influenced by a number of factors (ownership, labour, visual impacts, noise, 
pollution…) and varies a lot between countries, regions or even localities (depending on 
the habits of the people, their needs, their resources, their level of knowledge…)</t>
  </si>
  <si>
    <t>It measures the local community awareness and readiness for the implementation of the technology.</t>
  </si>
  <si>
    <t xml:space="preserve">Awareness of the local community is of prime importance for the sustainability of systems: lots of projects have failed in the past because the technology was not popular among the population, and for instance led to changes in their habits they could not cope with. Technology adoptions are faster when higher levels of awareness exist. </t>
  </si>
  <si>
    <t>Social</t>
  </si>
  <si>
    <t>Disability-adjusted life years (DALY) is a parameter classically used in LCA to 
determine the number of years lost because of bad health (illness, disability).
DALY = YLL + YLD
DALY disability-adjusted life years
YLL years of life lost
YLD years lived with disease/disability
It provides a synthesis of various effects that are harmful to humans (toxicity, particulate 
matter formation, ionising radiation…) and can be expressed relatively to a unit of energy.
Another aspect of that topic is the occupational risk, which describes the risk to workers whose job is directly related to the energy system and can be the victim of radiations, accidents… This risk if often expressed as a fatality rate per unit of energy</t>
  </si>
  <si>
    <t>Independency</t>
  </si>
  <si>
    <t>Several categories can be considered:
• Direct jobs (directly linked to the construction and operation of the energy
system) and indirect jobs (upstream and downstream suppliers),
• Skilled or unskilled workers (who don’t need particular knowledge)
• Various contract types (salaried, self-employed, family workers, cooperatives)
The notion of indirect jobs can be further extended to jobs resulting from the productive 
uses created, for instance teachers if the project contributes to a school electrification.</t>
  </si>
  <si>
    <t>Quantitaive</t>
  </si>
  <si>
    <t>Continuous changes in technology, environmental regulation and public safety concerns make the analysis of complex safety-critical of energy systems more and more demanding.</t>
  </si>
  <si>
    <t>Risk</t>
  </si>
  <si>
    <t>Direct availability of the primary energy resource.</t>
  </si>
  <si>
    <t xml:space="preserve">The IRENA defines the availability in terms of potentials of 3 different types, from the 
least to the most restrictive:
• Theoretical potential: amount of resource available without considering
conversion efficiencies and losses
• Geographic potential: theoretical resources whose exploitation is geographically 
possible and relevant (considering protected areas for instance)
• Technical potential: geographical resources </t>
  </si>
  <si>
    <t>ECO</t>
  </si>
  <si>
    <t>RISKS</t>
  </si>
  <si>
    <t xml:space="preserve">  Technologies Madagascar</t>
  </si>
  <si>
    <t>Local population awareness is a demonstration of  ensuring that beneficiaries know about the technology and administration. It is important in the goal that the beneficiaries can settle on the best choice and ideal decision.</t>
  </si>
  <si>
    <t xml:space="preserve">The outcome of any project relies on expertise of the direct beneficiaries. </t>
  </si>
  <si>
    <t>Severe weather induced disruption such as extrinsic disruption, intrinsic of the capacity of a system and the effectiveness of the recovery as well as public safety concerns could impacts the resilience of a system.</t>
  </si>
  <si>
    <t xml:space="preserve">The data on NPV is obtained by estimating future cash flows for each period and the appropriate discount rate.
E.g. LCOE:Typical LCOE values are found in the Literature and international databases. Particular attention is paid to the geographic and technical context (small-size systems), from which the LCOE is highly dependent. </t>
  </si>
  <si>
    <t>Data on future cash flow is obtained by:  estimating the cash for the beginning of the project; estimating the cash and expenses for the next period, and subtracting the expenses from the income. Then add cash flow to the opening balance.</t>
  </si>
  <si>
    <t>Non methane volatile organic compounds</t>
  </si>
  <si>
    <t>The data of acceptability should be derived from the baseline assessment and pilot study for each demonstration site.</t>
  </si>
  <si>
    <t>The data are obtained from the pilot study and the energy baseline study for each context.</t>
  </si>
  <si>
    <t>The data can be interpolated using an existing technology and empirical equations.</t>
  </si>
  <si>
    <t xml:space="preserve">The expertise indicator is very important in decision making since it provides a global overview on the level of education of the beneficiaries and their ability to do some small exploitations and maintenances </t>
  </si>
  <si>
    <t>The data are obtained through survey (input from pilot study ) and usisng World bank database</t>
  </si>
  <si>
    <t>Criteria to assess the degree of security of an applied technology  for a sustainable decision making.</t>
  </si>
  <si>
    <t>Data  related to the potential impacts of the technology on the population's safety  based on literature review.</t>
  </si>
  <si>
    <t>Fossil</t>
  </si>
  <si>
    <t>ECO5</t>
  </si>
  <si>
    <t>Utilization costs</t>
  </si>
  <si>
    <t>€/kW</t>
  </si>
  <si>
    <t>Elements considered in capital costs vary depending ono the scope of the studies consulted. Following components are commonly included: 
'-Mechanical equipment
-Technological installations
-Constructions of roads/grid connections (not relevant for off-grid systems)
-Engineering services
-Incidental construction work (drilling etc.)</t>
  </si>
  <si>
    <t xml:space="preserve">Consultation of various databases and local market data from demosites. </t>
  </si>
  <si>
    <t>Costs for operation and maintenance of the energy system.</t>
  </si>
  <si>
    <t>€/kW/yr</t>
  </si>
  <si>
    <t xml:space="preserve">Fixed costs are usually given as fraction of hte initial investment costs and are obtained from literature and local market data from the demo sites. Variable costs essentially reflect fuel costs, which are obtained from local market data. </t>
  </si>
  <si>
    <t>€</t>
  </si>
  <si>
    <t xml:space="preserve">The data is provided by the local demonstrator. </t>
  </si>
  <si>
    <t>The data of NMVOC can be obtained through estimation using empirical formulas and online database.</t>
  </si>
  <si>
    <t>Political support</t>
  </si>
  <si>
    <t>This indicator assesses the potential risks associated with political instability (historical and expected political instability), political support (e.g manifested technology targets or fiscal incentives) how it may alter the project sustainability.</t>
  </si>
  <si>
    <t xml:space="preserve">The political stability, i.e. support, of certain technologies and their pathway may influence the future potential and market conditions. 
</t>
  </si>
  <si>
    <t xml:space="preserve">As political support in any frm influences the market conditions for suppliers and customers of technologies it is a crucial factor to consider when evaluating suitable environmnets for energy system technologies. Superordinate, the political stability of a country in general shapes the market conditions. </t>
  </si>
  <si>
    <t xml:space="preserve">Data on poiltical instability, democracy and indenpence of istitution can be obtained from regional reports. The regulatory framework analysis flowcharts submitted in WP1 supports the assessment of the political support. </t>
  </si>
  <si>
    <t>The data acquisition method consists of reviewing the primary energy sources and other goods required for each technology and their depence on external supply.</t>
  </si>
  <si>
    <t>The availability of several forms of energy greatly depend on the site considered for a project. Such variations are observed at various scales. They can be a decisive argument in deciding if a technology is relevant or not in a given context.</t>
  </si>
  <si>
    <t>Please indicate specificities of the data source (e.g. geographic scope)</t>
  </si>
  <si>
    <t xml:space="preserve">You can indicate "corrected" values depending on qualitative information. </t>
  </si>
  <si>
    <t>Anaerobic digester</t>
  </si>
  <si>
    <t>Floating drum digester</t>
  </si>
  <si>
    <t>Data are obtained from natural resources database for each context.</t>
  </si>
  <si>
    <t>ToDo: Hide this sheet when distributing</t>
  </si>
  <si>
    <t>You can idecide to include or exclude values for calculation of Median and Average  with choosing "Y" (include) or "N" (exclude)</t>
  </si>
  <si>
    <t>Electric Boda</t>
  </si>
  <si>
    <t>ICE 150 CC</t>
  </si>
  <si>
    <t>Mobility</t>
  </si>
  <si>
    <t>CO2 emissions/km</t>
  </si>
  <si>
    <t>CO2 equivalent emissions emitted per km of use</t>
  </si>
  <si>
    <t>ppm</t>
  </si>
  <si>
    <t>ICE 150 cc</t>
  </si>
  <si>
    <t>Electric boda</t>
  </si>
  <si>
    <t>Initial costs (acquisition costs) for investment in the boda.</t>
  </si>
  <si>
    <t>Capital costs are a major decision element in the implementation of a mobility solution. They represent direct upfront costs which are linked with the aquisition of the asset for the end-user. Too high capital costs can discourage the investment in a project in the absence of adequate financing mechanisms.</t>
  </si>
  <si>
    <t>Acquisition costs</t>
  </si>
  <si>
    <t>Total cost of ownership</t>
  </si>
  <si>
    <t xml:space="preserve">These costs are generated through the whole time the asset is used. They are covered on a regular basis and are therefore important to consider in a financing plan. </t>
  </si>
  <si>
    <t>The utilization costs are devided in fixed costs (€/kW) including operational expenses such as continuous maintenance, and variable costs (€/kWh) including fuel costs.</t>
  </si>
  <si>
    <t>Positive opinions related to the implementation of the mobility solution.</t>
  </si>
  <si>
    <t>Life deterioration due to the implementation of the mobility solution.</t>
  </si>
  <si>
    <t>The different steps of utilizing mobility solutions can cause various substances to be released into the environment and be harmful to the ecosystems and human beings, causing cancers, respiratory problems or injuries.</t>
  </si>
  <si>
    <t>electric boda</t>
  </si>
  <si>
    <t>Measures the quantity of direct and indirect jobs generated during the introduction of a mobility solution to a market, considering the induced future on job opportunities.</t>
  </si>
  <si>
    <t>The implementation of mobility solutions is an opportunity to generate 
economic activity locally, in the form of direct usage of the solution as well as with creating indirect jobs.</t>
  </si>
  <si>
    <t>The other deonstrator measure this in number of jobs created. Still keep to €/capita?</t>
  </si>
  <si>
    <t>Refers to locally available expertise for the continuous operation and maintenance of the mobility asset, the level of education.</t>
  </si>
  <si>
    <t xml:space="preserve">Overall cost of a product or service throughout its life cycle. </t>
  </si>
  <si>
    <t>Energy consumption per km</t>
  </si>
  <si>
    <t xml:space="preserve">Amount of energy consumed by the mobility solution per travelled km at standard condition. </t>
  </si>
  <si>
    <t xml:space="preserve">The energy consumption per km is an equivalent of comparing the technical energy efficiency of mobility assets. With this it is essential part of the United Nations Sustainable Development Goals to increase energy efficiency for mobility solutions. </t>
  </si>
  <si>
    <t xml:space="preserve">Data obtained from literature research (database https://ev-database.org/cheatsheet/energy-consumption-electric-car) and input from local demo-sites. </t>
  </si>
  <si>
    <t>Power or acceleration performance</t>
  </si>
  <si>
    <t>The product of acceleration and vehicle speed as quantity of the achieved vehicle performance.</t>
  </si>
  <si>
    <t>Reliability</t>
  </si>
  <si>
    <t>The capacity of a device or system to perform as designed; the resistance to failure of a device or system; the ability of a device or system to perform a required function under stated conditions for a specified period of time; or the ability of something to ‘‘fail well’’ (fail without catastrophic consequences).</t>
  </si>
  <si>
    <t>Scale 1 to 3 (1 = low to 3 = high)</t>
  </si>
  <si>
    <t xml:space="preserve">The reliability is a widely used terminus to descrive the availability of an mobility technology. Ist ability to work (at full load) is expressed by calculations the ration between the energy actually provided over use time and the maximum theoretical energy that would have been provided if the system and worked at its nameplate capacity the whole time. </t>
  </si>
  <si>
    <t>Several factors can contribute to a lower capacity factor:
• Resource: weather and climatic conditions, fuel supply
• Maintenance: planned and unplanned technical interventions
• Failure</t>
  </si>
  <si>
    <t xml:space="preserve">The data can be obtained using from the local demonstrators or literature. </t>
  </si>
  <si>
    <t>What is the flexiblity in this sense? (Remind we already have acceleration included)</t>
  </si>
  <si>
    <t xml:space="preserve">Direct availability of the technologies and goods required for constinuous operation of the mobility solution. </t>
  </si>
  <si>
    <t>The external supply risk is an important to assess  sustainability of the technology through the continuous supply of the primary resource. The energy security of most mobility systems is at risks from the effect of global energy crisis and global warming. The reliable supply to endusers can be seriously threatened by extreme weather events as well as energy crisis.</t>
  </si>
  <si>
    <t xml:space="preserve">The assessment of the external supply risks includes assessing the value chain of primary energy carrier and other mobility asset goods (e.g. batteries) not locally available. </t>
  </si>
  <si>
    <t>Multi-criteria decision analysis tool for energy system evaluation and planning</t>
  </si>
  <si>
    <t>Presentation of this template's sheets</t>
  </si>
  <si>
    <t>Introduction</t>
  </si>
  <si>
    <t>Methodological background</t>
  </si>
  <si>
    <t>Results</t>
  </si>
  <si>
    <t xml:space="preserve">Steps to use the Tool </t>
  </si>
  <si>
    <t>projects@ceacc.tu-berlin.de</t>
  </si>
  <si>
    <t>Include or exclude indicators for the analysis by indicating "Y" (inclusion) or "N" (exclusion)</t>
  </si>
  <si>
    <t>Choose predefined weights to be applied via drop down or apply individual weights entering any value under row "Custom"</t>
  </si>
  <si>
    <t>Description of the relevance to assess the indicator.</t>
  </si>
  <si>
    <t>Background information of the indicator.</t>
  </si>
  <si>
    <t xml:space="preserve">Description of data acquisition strategy and sources. </t>
  </si>
  <si>
    <t>Stand-alone DG</t>
  </si>
  <si>
    <t>You can add remarks to indicate specificities of the data source (e.g. geographic scope)</t>
  </si>
  <si>
    <t xml:space="preserve">E.g. data refers to residential supply only. </t>
  </si>
  <si>
    <t>Estimation from ENERGICA experts</t>
  </si>
  <si>
    <t xml:space="preserve">You can manually indicate "corrected" values that differ from the collected data, e.g. to adjust according to the quality of the information. By default, the analysis includes the average values. </t>
  </si>
  <si>
    <t>This multi-criteria decision analysis (MCDA) tool was developed within the ENERGICA project. This project has received funding from the European Union's Horizon 2020 research and innovation programme under grant agreement no. 101037428 (ENERGICA). This tool enables to evaluate alternatives (mobility via motorcycles) amongst technical, economic, social, and environmental criteria. It allows to i) choose between criteria to compare alternatives within, ii) apply individual weights to the criteria, iii) flexible include or exclude data for the calculation and iv) integrate new data sources. The tool will be fed with data from local contexts of Kenya through out the project duration (2021 - 2025).</t>
  </si>
  <si>
    <t xml:space="preserve">The tool builds on an adjusted MCDA proces following the steps of i) formulation of alternatives, ii) criteria selection, iii) assigning criteria scores, iv) normalization, v) determination of weights applied, vi) MCDA ranking. The version May2023 applies min-max normalization to normilize original data to a utility value on a dimensionless scale of 0 and 1, while specifically capturing outliers. This implies that changing values for one alternative, the score of other alternatives might be influenced as well. Weights applied follow the rank-order approach and can be adjusted according to the user preferences. Elementary weighted sum is applied to establish the MCDA ranking. For further readings we refer to Wang et al., 2009. "Review on multi-criteria decision analysis aid in sustainable energy decision-making", Renewable and Sustainable Energy Reviews 13, 2263 - 2278. </t>
  </si>
  <si>
    <r>
      <rPr>
        <sz val="10"/>
        <color rgb="FF0070C0"/>
        <rFont val="Arial"/>
        <family val="2"/>
      </rPr>
      <t xml:space="preserve">STEP 1: </t>
    </r>
    <r>
      <rPr>
        <sz val="10"/>
        <rFont val="Arial"/>
        <family val="2"/>
      </rPr>
      <t xml:space="preserve">In sheet "Criteria", choose the indicators to be included in the MCDA analysis by following the instructions highlighted in </t>
    </r>
    <r>
      <rPr>
        <b/>
        <sz val="10"/>
        <rFont val="Arial"/>
        <family val="2"/>
      </rPr>
      <t xml:space="preserve">turquoise fillings with red font color </t>
    </r>
    <r>
      <rPr>
        <sz val="10"/>
        <rFont val="Arial"/>
        <family val="2"/>
      </rPr>
      <t xml:space="preserve">see example here: </t>
    </r>
    <r>
      <rPr>
        <sz val="10"/>
        <color rgb="FF000000"/>
        <rFont val="Arial"/>
        <family val="2"/>
      </rPr>
      <t xml:space="preserve">
</t>
    </r>
    <r>
      <rPr>
        <sz val="10"/>
        <color rgb="FFFF0000"/>
        <rFont val="Arial"/>
        <family val="2"/>
      </rPr>
      <t xml:space="preserve">STEP 2: </t>
    </r>
    <r>
      <rPr>
        <sz val="10"/>
        <color rgb="FF000000"/>
        <rFont val="Arial"/>
        <family val="2"/>
      </rPr>
      <t xml:space="preserve">In sheet "Weighting", choose from the predefined weighting options (equal weights, specific dimensions, other) or apply individual weights to the indicators following the instructions indicated in </t>
    </r>
    <r>
      <rPr>
        <b/>
        <sz val="10"/>
        <color rgb="FF000000"/>
        <rFont val="Arial"/>
        <family val="2"/>
      </rPr>
      <t>turquoise fillings with red font color</t>
    </r>
    <r>
      <rPr>
        <sz val="10"/>
        <color rgb="FF000000"/>
        <rFont val="Arial"/>
        <family val="2"/>
      </rPr>
      <t xml:space="preserve">. For applying individual weights, </t>
    </r>
    <r>
      <rPr>
        <sz val="10"/>
        <color rgb="FFFF0000"/>
        <rFont val="Arial"/>
        <family val="2"/>
      </rPr>
      <t>only modify the values provided under "Custom"</t>
    </r>
    <r>
      <rPr>
        <sz val="10"/>
        <color rgb="FF000000"/>
        <rFont val="Arial"/>
        <family val="2"/>
      </rPr>
      <t xml:space="preserve"> (line 14). Per default, equal weights are applied to all indicators. You can see weights applied for each pre-defined scenario by unhiding rows 5-14. 
</t>
    </r>
    <r>
      <rPr>
        <sz val="10"/>
        <color rgb="FFFF0000"/>
        <rFont val="Arial"/>
        <family val="2"/>
      </rPr>
      <t>STEP 4:</t>
    </r>
    <r>
      <rPr>
        <sz val="10"/>
        <color rgb="FF000000"/>
        <rFont val="Arial"/>
        <family val="2"/>
      </rPr>
      <t xml:space="preserve"> In sheet "Weighting", you can manually include values differing from the underlying data collected under the respective indicator sheets by following the instructions indicated in </t>
    </r>
    <r>
      <rPr>
        <b/>
        <sz val="10"/>
        <color rgb="FF000000"/>
        <rFont val="Arial"/>
        <family val="2"/>
      </rPr>
      <t>turquoise fillings with red font color</t>
    </r>
    <r>
      <rPr>
        <sz val="10"/>
        <color rgb="FF000000"/>
        <rFont val="Arial"/>
        <family val="2"/>
      </rPr>
      <t xml:space="preserve">.
</t>
    </r>
    <r>
      <rPr>
        <sz val="10"/>
        <color rgb="FF7030A0"/>
        <rFont val="Arial"/>
        <family val="2"/>
      </rPr>
      <t>STEP 5:</t>
    </r>
    <r>
      <rPr>
        <sz val="10"/>
        <color rgb="FF000000"/>
        <rFont val="Arial"/>
        <family val="2"/>
      </rPr>
      <t xml:space="preserve"> Data integration: You can manually include data under each individual indicator sheet. You can collect new data from any source, and choose from the collected data which data to include in the calculation and ranking. Therefore, follow the instructions indicated in </t>
    </r>
    <r>
      <rPr>
        <b/>
        <sz val="10"/>
        <color rgb="FF000000"/>
        <rFont val="Arial"/>
        <family val="2"/>
      </rPr>
      <t xml:space="preserve">turquoise fillings with red font color </t>
    </r>
    <r>
      <rPr>
        <sz val="10"/>
        <color rgb="FF000000"/>
        <rFont val="Arial"/>
        <family val="2"/>
      </rPr>
      <t>in the example tab sheet "</t>
    </r>
    <r>
      <rPr>
        <sz val="10"/>
        <color rgb="FF7030A0"/>
        <rFont val="Arial"/>
        <family val="2"/>
      </rPr>
      <t>Indicator_example</t>
    </r>
    <r>
      <rPr>
        <sz val="10"/>
        <color rgb="FF000000"/>
        <rFont val="Arial"/>
        <family val="2"/>
      </rPr>
      <t xml:space="preserve">". Please note that the MCDA calculations may require differeing values for the alternatives to compare within each indicator category.   </t>
    </r>
  </si>
  <si>
    <t xml:space="preserve">Two main results are displayed by default:
1. The ranking of alternatives based on the weighted arithmetic mean aggregation method. The higher the score of the alternative, the better it is compared to the other alternatives amongst all the criteria and dimensions of sustainability included in the analysis.2. Number of criteria, in which the alternative ranks best (# Best) and worst (# Worst) compared to the other alternatives. 
The results are displayed on the right, and in the "Weighting" sheet. 
</t>
  </si>
  <si>
    <t>Check respective indicator for a detailed explanation of the scaling</t>
  </si>
  <si>
    <t>You can manually manipulate the values included in this table and reset to the values referenced within the respective indicator sheets by clicking "reset" in column B (left)</t>
  </si>
  <si>
    <t>Custom Example 1</t>
  </si>
  <si>
    <t>Custom Example 2</t>
  </si>
  <si>
    <t>THIS IS AN EXAMPLE HOW TO INTEGRATE DATA IN EACH INDICATOR SHEET</t>
  </si>
  <si>
    <t>Visual representation of the data collected.</t>
  </si>
  <si>
    <t>NAME: EXAMPLE</t>
  </si>
  <si>
    <r>
      <t xml:space="preserve">Definition of the indicator. </t>
    </r>
    <r>
      <rPr>
        <i/>
        <sz val="10"/>
        <color rgb="FFFF0000"/>
        <rFont val="Liberation Sans"/>
      </rPr>
      <t xml:space="preserve">The instruction provided below apply to any other indicator. </t>
    </r>
  </si>
  <si>
    <t>Example: Economic</t>
  </si>
  <si>
    <t>Example: Price performance</t>
  </si>
  <si>
    <t>Example: Quantitative</t>
  </si>
  <si>
    <t>Example: €/kW</t>
  </si>
  <si>
    <t>Integrate data and choose from "Y" or "N" to automatically include or exclude the data value for the analysis. Data indicated with "N" will not be considered in calculations of the ranking.</t>
  </si>
  <si>
    <t>Nanogrid</t>
  </si>
  <si>
    <t>SHS</t>
  </si>
  <si>
    <t>USD</t>
  </si>
  <si>
    <t>Reuters</t>
  </si>
  <si>
    <t>Payback period refers to the period of time required for the return on an investment to ‘‘repay’’ the sum of the original investment.</t>
  </si>
  <si>
    <t>IEA</t>
  </si>
  <si>
    <t>TCO is important to understant the various drivers costs and help to manage the contract actual expenses and income.</t>
  </si>
  <si>
    <t>Both direct and indirect costs arecost items  to consider.</t>
  </si>
  <si>
    <t>Consultation of various database, legal documents and  market data from demosites.</t>
  </si>
  <si>
    <t>quantitative estimate (1 = short, 2 = long) to be modifed into quantitative (years) when data is available from the demosite.</t>
  </si>
  <si>
    <t>1 = short, 2 = long</t>
  </si>
  <si>
    <t>quantitative estimate (1 = low, 2 = high) to be modifed into quantitative (€/MWh) when data is available from the demosite.</t>
  </si>
  <si>
    <t>1 = low, 2 = high</t>
  </si>
  <si>
    <t>1 = low  2 = high</t>
  </si>
  <si>
    <t>1 = short  2 = long</t>
  </si>
  <si>
    <t xml:space="preserve">https://energypost.eu/how-do-we-get-ev-payback-periods-down-to-4-years/ </t>
  </si>
  <si>
    <t>Roam internal study</t>
  </si>
  <si>
    <t>This indicator helps to compare the CO2 emissions from a given technology to the  values of the   standards baseline. It also helps to track the progress of electrical mobilty  manufacturers towards their reduction targets, and understand the various technology pathways chosen by manufacturers to decarbonize their fleets, thereby contributung in climate change mitigation.</t>
  </si>
  <si>
    <t>Data can be requested from ROAM or any other electrical mobility manufacturer.</t>
  </si>
  <si>
    <t>ENERGICA experts estimnation</t>
  </si>
  <si>
    <t>quantitative estimate (1 = low, 2 = high) to be modifed into quantitative (t) when data is available from the demosite.</t>
  </si>
  <si>
    <t>ENERGICA expert estimation</t>
  </si>
  <si>
    <t>Scale (1 = low; 2 = high)</t>
  </si>
  <si>
    <t>ENERGICA Expert estimation</t>
  </si>
  <si>
    <t>quantitative estimate (1 = low, 2 = high) to be modifed into quantitative (DALY) when data is available from the demosite.</t>
  </si>
  <si>
    <t>quantitative estimate (1 = low, 2 = high) to be modifed into quantitative (€/capita) when data is available from the demosite.</t>
  </si>
  <si>
    <t>ENERGICA expert estimate</t>
  </si>
  <si>
    <t>quantitative estimate (1 = low, 2 = high) to be modifed into quantitative (Number of experts) when data is available from the demosite.</t>
  </si>
  <si>
    <t>In relation to the Sustainable Development Goals, energy efficiency is a fundamental pillar to reach an energy sustainable future and promote development in other dimensions of development.</t>
  </si>
  <si>
    <t>kWh/100km</t>
  </si>
  <si>
    <t>Weiss, M., Cloos, K.C. &amp; Helmers, E. Energy efficiency trade-offs in small to large electric vehicles. Environ Sci Eur 32, 46 (2020). https://doi.org/10.1186/s12302-020-00307-8</t>
  </si>
  <si>
    <t>The acceleration peroformance is a key indicator in mobility sector since it helps to track annual improvements, energy savings. It  also used to communicate across uses such   manufacturing and non-manufacturing facilities.</t>
  </si>
  <si>
    <t>data from ROAM and other mobility facilities in Kenya</t>
  </si>
  <si>
    <t>All-Electric Vehicles (fueleconomy.gov)</t>
  </si>
  <si>
    <t>Scale on 1-5 (1 = very unsafe to 5 = very safe)</t>
  </si>
  <si>
    <t>Are electric bikes more dangerous than motorcycles? | Electrek</t>
  </si>
  <si>
    <t>Scale (1 = unsafe to 5 very safe)</t>
  </si>
  <si>
    <t>7 Reasons You Should Buy an Electric Motorcycle (makeuseof.com)</t>
  </si>
  <si>
    <t>Kenya gets a breather courtesy of electric motorcycles (unep.org)</t>
  </si>
  <si>
    <t>scale 1 to 3 (1 = low risk, 3 = high risk)</t>
  </si>
  <si>
    <t>Scale 1 to 3 (1 = not favourable to 3 = highly favourable)</t>
  </si>
  <si>
    <t>Scale (1 = not favourable to 3 = highly favourable)</t>
  </si>
  <si>
    <t>Scale 1 to 5 (1 = low risk, 5 = high risk)</t>
  </si>
  <si>
    <t>1: not dependent on locacion
2: very good potential
3: good potential
4: resource available
5: risky availability</t>
  </si>
  <si>
    <t>If you spot a mistake somewhere or have suggestions for improvements of the tool, please send us an e-mail at the following address: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</si>
</sst>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0.0"/>
    <numFmt numFmtId="166" formatCode="0.00000"/>
  </numFmts>
  <fonts count="44">
    <font>
      <sz val="11"/>
      <color theme="1"/>
      <name val="Calibri"/>
      <family val="2"/>
      <scheme val="minor"/>
    </font>
    <font>
      <b/>
      <sz val="12"/>
      <color theme="1"/>
      <name val="Liberation Sans"/>
      <family val="2"/>
    </font>
    <font>
      <b/>
      <sz val="10"/>
      <color theme="1"/>
      <name val="Liberation Sans"/>
      <family val="2"/>
    </font>
    <font>
      <sz val="10"/>
      <color theme="1"/>
      <name val="Liberation Sans"/>
      <family val="2"/>
    </font>
    <font>
      <b/>
      <sz val="12"/>
      <color theme="0"/>
      <name val="Liberation Sans"/>
      <family val="2"/>
    </font>
    <font>
      <sz val="12"/>
      <color theme="0"/>
      <name val="Liberation Sans"/>
      <family val="2"/>
    </font>
    <font>
      <b/>
      <sz val="15"/>
      <color theme="0"/>
      <name val="Liberation Sans"/>
      <family val="2"/>
    </font>
    <font>
      <sz val="11"/>
      <color theme="1"/>
      <name val="Calibri"/>
      <family val="2"/>
      <scheme val="minor"/>
    </font>
    <font>
      <b/>
      <sz val="10"/>
      <color theme="0"/>
      <name val="Liberation Sans"/>
      <family val="2"/>
    </font>
    <font>
      <sz val="10"/>
      <color rgb="FFFF0000"/>
      <name val="Liberation Sans"/>
      <family val="2"/>
    </font>
    <font>
      <i/>
      <sz val="10"/>
      <color rgb="FFFF0000"/>
      <name val="Liberation Sans"/>
      <family val="2"/>
    </font>
    <font>
      <sz val="8"/>
      <color theme="1"/>
      <name val="Liberation Sans"/>
      <family val="2"/>
    </font>
    <font>
      <u/>
      <sz val="11"/>
      <color theme="10"/>
      <name val="Calibri"/>
      <family val="2"/>
      <scheme val="minor"/>
    </font>
    <font>
      <b/>
      <u/>
      <sz val="10"/>
      <color theme="10"/>
      <name val="Liberation Sans"/>
      <family val="2"/>
    </font>
    <font>
      <sz val="11"/>
      <color theme="1"/>
      <name val="Liberation Sans"/>
      <family val="2"/>
    </font>
    <font>
      <b/>
      <sz val="11"/>
      <color theme="1"/>
      <name val="Liberation Sans"/>
      <family val="2"/>
    </font>
    <font>
      <b/>
      <sz val="11"/>
      <color theme="0"/>
      <name val="Liberation Sans"/>
      <family val="2"/>
    </font>
    <font>
      <b/>
      <i/>
      <sz val="11"/>
      <color theme="1"/>
      <name val="Liberation Sans"/>
      <family val="2"/>
    </font>
    <font>
      <i/>
      <sz val="11"/>
      <color theme="1"/>
      <name val="Liberation Sans"/>
      <family val="2"/>
    </font>
    <font>
      <sz val="11"/>
      <color theme="2"/>
      <name val="Liberation Sans"/>
      <family val="2"/>
    </font>
    <font>
      <sz val="9"/>
      <color theme="1"/>
      <name val="Liberation Sans"/>
      <family val="2"/>
    </font>
    <font>
      <b/>
      <sz val="20"/>
      <color theme="0"/>
      <name val="Liberation Sans"/>
      <family val="2"/>
    </font>
    <font>
      <sz val="8"/>
      <name val="Calibri"/>
      <family val="2"/>
      <scheme val="minor"/>
    </font>
    <font>
      <i/>
      <sz val="10"/>
      <color theme="1"/>
      <name val="Liberation Sans"/>
    </font>
    <font>
      <sz val="10"/>
      <color theme="1"/>
      <name val="Liberation Sans"/>
    </font>
    <font>
      <sz val="10"/>
      <name val="Liberation Sans"/>
    </font>
    <font>
      <sz val="9"/>
      <color indexed="81"/>
      <name val="Tahoma"/>
      <family val="2"/>
    </font>
    <font>
      <b/>
      <sz val="9"/>
      <color indexed="81"/>
      <name val="Tahoma"/>
      <family val="2"/>
    </font>
    <font>
      <sz val="11"/>
      <color rgb="FFFF0000"/>
      <name val="Calibri"/>
      <family val="2"/>
      <scheme val="minor"/>
    </font>
    <font>
      <sz val="22"/>
      <color theme="1"/>
      <name val="Calibri"/>
      <family val="2"/>
      <scheme val="minor"/>
    </font>
    <font>
      <b/>
      <sz val="10"/>
      <color rgb="FFFFFFFF"/>
      <name val="Arial"/>
      <family val="2"/>
    </font>
    <font>
      <sz val="10"/>
      <color rgb="FF000000"/>
      <name val="Arial"/>
      <family val="2"/>
    </font>
    <font>
      <b/>
      <sz val="10"/>
      <name val="Arial"/>
      <family val="2"/>
    </font>
    <font>
      <sz val="10"/>
      <name val="Arial"/>
      <family val="2"/>
    </font>
    <font>
      <b/>
      <sz val="10"/>
      <color rgb="FF000000"/>
      <name val="Arial"/>
      <family val="2"/>
    </font>
    <font>
      <i/>
      <sz val="10"/>
      <color rgb="FFFF0000"/>
      <name val="Liberation Sans"/>
    </font>
    <font>
      <i/>
      <sz val="11"/>
      <color rgb="FFFF0000"/>
      <name val="Liberation Sans"/>
    </font>
    <font>
      <sz val="11"/>
      <color rgb="FFFF0000"/>
      <name val="Liberation Sans"/>
      <family val="2"/>
    </font>
    <font>
      <sz val="10"/>
      <color rgb="FFFF0000"/>
      <name val="Liberation Sans"/>
    </font>
    <font>
      <sz val="10"/>
      <color rgb="FF0070C0"/>
      <name val="Arial"/>
      <family val="2"/>
    </font>
    <font>
      <sz val="10"/>
      <color rgb="FFFF0000"/>
      <name val="Arial"/>
      <family val="2"/>
    </font>
    <font>
      <sz val="10"/>
      <color rgb="FF7030A0"/>
      <name val="Arial"/>
      <family val="2"/>
    </font>
    <font>
      <i/>
      <sz val="10"/>
      <name val="Liberation Sans"/>
    </font>
    <font>
      <sz val="11"/>
      <color rgb="FFFF0000"/>
      <name val="Liberation Sans"/>
    </font>
  </fonts>
  <fills count="28">
    <fill>
      <patternFill patternType="none"/>
    </fill>
    <fill>
      <patternFill patternType="gray125"/>
    </fill>
    <fill>
      <patternFill patternType="solid">
        <fgColor theme="1"/>
        <bgColor indexed="64"/>
      </patternFill>
    </fill>
    <fill>
      <patternFill patternType="solid">
        <fgColor theme="9"/>
        <bgColor indexed="64"/>
      </patternFill>
    </fill>
    <fill>
      <patternFill patternType="solid">
        <fgColor rgb="FFFFFF00"/>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theme="7"/>
        <bgColor indexed="64"/>
      </patternFill>
    </fill>
    <fill>
      <patternFill patternType="solid">
        <fgColor rgb="FFC00000"/>
        <bgColor indexed="64"/>
      </patternFill>
    </fill>
    <fill>
      <patternFill patternType="solid">
        <fgColor theme="2" tint="-0.499984740745262"/>
        <bgColor indexed="64"/>
      </patternFill>
    </fill>
    <fill>
      <patternFill patternType="solid">
        <fgColor theme="2"/>
        <bgColor indexed="64"/>
      </patternFill>
    </fill>
    <fill>
      <patternFill patternType="solid">
        <fgColor rgb="FFFFC000"/>
        <bgColor indexed="64"/>
      </patternFill>
    </fill>
    <fill>
      <patternFill patternType="solid">
        <fgColor rgb="FF92D050"/>
        <bgColor indexed="64"/>
      </patternFill>
    </fill>
    <fill>
      <patternFill patternType="solid">
        <fgColor theme="5" tint="-0.249977111117893"/>
        <bgColor indexed="64"/>
      </patternFill>
    </fill>
    <fill>
      <patternFill patternType="solid">
        <fgColor theme="5"/>
        <bgColor indexed="64"/>
      </patternFill>
    </fill>
    <fill>
      <patternFill patternType="solid">
        <fgColor theme="8" tint="0.79998168889431442"/>
        <bgColor indexed="64"/>
      </patternFill>
    </fill>
    <fill>
      <patternFill patternType="solid">
        <fgColor theme="1" tint="0.499984740745262"/>
        <bgColor indexed="64"/>
      </patternFill>
    </fill>
    <fill>
      <patternFill patternType="solid">
        <fgColor theme="0"/>
        <bgColor indexed="64"/>
      </patternFill>
    </fill>
    <fill>
      <patternFill patternType="solid">
        <fgColor rgb="FFFF0000"/>
        <bgColor indexed="64"/>
      </patternFill>
    </fill>
    <fill>
      <patternFill patternType="solid">
        <fgColor rgb="FF00FFFF"/>
        <bgColor indexed="64"/>
      </patternFill>
    </fill>
    <fill>
      <patternFill patternType="solid">
        <fgColor theme="4"/>
        <bgColor indexed="64"/>
      </patternFill>
    </fill>
    <fill>
      <patternFill patternType="solid">
        <fgColor rgb="FFED7D31"/>
        <bgColor rgb="FF000000"/>
      </patternFill>
    </fill>
    <fill>
      <patternFill patternType="solid">
        <fgColor rgb="FFFCE4D6"/>
        <bgColor rgb="FF000000"/>
      </patternFill>
    </fill>
    <fill>
      <patternFill patternType="solid">
        <fgColor rgb="FFFFFFFF"/>
        <bgColor rgb="FF000000"/>
      </patternFill>
    </fill>
  </fills>
  <borders count="49">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top style="thin">
        <color indexed="64"/>
      </top>
      <bottom/>
      <diagonal/>
    </border>
    <border>
      <left/>
      <right style="medium">
        <color indexed="64"/>
      </right>
      <top style="thin">
        <color indexed="64"/>
      </top>
      <bottom/>
      <diagonal/>
    </border>
    <border>
      <left/>
      <right/>
      <top style="thin">
        <color theme="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s>
  <cellStyleXfs count="3">
    <xf numFmtId="0" fontId="0" fillId="0" borderId="0"/>
    <xf numFmtId="9" fontId="7" fillId="0" borderId="0" applyFont="0" applyFill="0" applyBorder="0" applyAlignment="0" applyProtection="0"/>
    <xf numFmtId="0" fontId="12" fillId="0" borderId="0" applyNumberFormat="0" applyFill="0" applyBorder="0" applyAlignment="0" applyProtection="0"/>
  </cellStyleXfs>
  <cellXfs count="453">
    <xf numFmtId="0" fontId="0" fillId="0" borderId="0" xfId="0"/>
    <xf numFmtId="0" fontId="2" fillId="0" borderId="0" xfId="0" applyFont="1" applyAlignment="1">
      <alignment vertical="center" wrapText="1"/>
    </xf>
    <xf numFmtId="0" fontId="3" fillId="0" borderId="0" xfId="0" applyFont="1" applyAlignment="1">
      <alignment vertical="center" wrapText="1"/>
    </xf>
    <xf numFmtId="0" fontId="3" fillId="0" borderId="0" xfId="0" applyFont="1" applyAlignment="1">
      <alignment horizontal="center" vertical="center" wrapText="1"/>
    </xf>
    <xf numFmtId="0" fontId="3" fillId="0" borderId="0" xfId="0" applyFont="1" applyAlignment="1">
      <alignment horizontal="left" vertical="center" wrapText="1"/>
    </xf>
    <xf numFmtId="0" fontId="2" fillId="0" borderId="0" xfId="0" applyFont="1" applyAlignment="1">
      <alignment horizontal="left" vertical="center" wrapText="1"/>
    </xf>
    <xf numFmtId="0" fontId="3" fillId="0" borderId="6" xfId="0" applyFont="1" applyBorder="1" applyAlignment="1">
      <alignment horizontal="center" vertic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3" fillId="0" borderId="14" xfId="0" applyFont="1" applyBorder="1" applyAlignment="1">
      <alignment horizontal="center" vertical="center" wrapText="1"/>
    </xf>
    <xf numFmtId="0" fontId="8" fillId="2" borderId="12" xfId="0" applyFont="1" applyFill="1" applyBorder="1" applyAlignment="1">
      <alignment horizontal="center" vertical="center" wrapText="1"/>
    </xf>
    <xf numFmtId="0" fontId="8" fillId="10" borderId="1" xfId="0" applyFont="1" applyFill="1" applyBorder="1" applyAlignment="1">
      <alignment horizontal="center" vertical="center" wrapText="1"/>
    </xf>
    <xf numFmtId="0" fontId="3" fillId="9" borderId="13" xfId="0" applyFont="1" applyFill="1" applyBorder="1" applyAlignment="1">
      <alignment vertical="center" wrapText="1"/>
    </xf>
    <xf numFmtId="0" fontId="3" fillId="9" borderId="14" xfId="0" applyFont="1" applyFill="1" applyBorder="1" applyAlignment="1">
      <alignment vertical="center" wrapText="1"/>
    </xf>
    <xf numFmtId="0" fontId="2" fillId="7" borderId="2" xfId="0" applyFont="1" applyFill="1" applyBorder="1" applyAlignment="1">
      <alignment vertical="center" wrapText="1"/>
    </xf>
    <xf numFmtId="0" fontId="2" fillId="7" borderId="5" xfId="0" applyFont="1" applyFill="1" applyBorder="1" applyAlignment="1">
      <alignment vertical="center" wrapText="1"/>
    </xf>
    <xf numFmtId="0" fontId="2" fillId="7" borderId="7" xfId="0" applyFont="1" applyFill="1" applyBorder="1" applyAlignment="1">
      <alignment vertical="center" wrapText="1"/>
    </xf>
    <xf numFmtId="0" fontId="2" fillId="7" borderId="13" xfId="0" applyFont="1" applyFill="1" applyBorder="1" applyAlignment="1">
      <alignment vertical="center" wrapText="1"/>
    </xf>
    <xf numFmtId="0" fontId="2" fillId="7" borderId="14" xfId="0" applyFont="1" applyFill="1" applyBorder="1" applyAlignment="1">
      <alignment vertical="center" wrapText="1"/>
    </xf>
    <xf numFmtId="0" fontId="2" fillId="7" borderId="1" xfId="0" applyFont="1" applyFill="1" applyBorder="1" applyAlignment="1">
      <alignment vertical="center" wrapText="1"/>
    </xf>
    <xf numFmtId="0" fontId="8" fillId="2" borderId="1" xfId="0" applyFont="1" applyFill="1" applyBorder="1" applyAlignment="1">
      <alignment horizontal="center" vertical="center" wrapText="1"/>
    </xf>
    <xf numFmtId="0" fontId="3" fillId="0" borderId="0" xfId="0" applyFont="1" applyAlignment="1">
      <alignment vertical="center"/>
    </xf>
    <xf numFmtId="0" fontId="2" fillId="0" borderId="0" xfId="0" applyFont="1" applyAlignment="1">
      <alignment vertical="center"/>
    </xf>
    <xf numFmtId="0" fontId="3" fillId="0" borderId="0" xfId="0" applyFont="1" applyAlignment="1">
      <alignment horizontal="center" vertical="center"/>
    </xf>
    <xf numFmtId="0" fontId="10" fillId="0" borderId="0" xfId="0" applyFont="1" applyAlignment="1">
      <alignment vertical="center"/>
    </xf>
    <xf numFmtId="0" fontId="2" fillId="0" borderId="13" xfId="0" applyFont="1" applyBorder="1" applyAlignment="1">
      <alignment horizontal="center" vertical="center"/>
    </xf>
    <xf numFmtId="0" fontId="3" fillId="0" borderId="14" xfId="0" applyFont="1" applyBorder="1" applyAlignment="1">
      <alignment horizontal="center" vertical="center"/>
    </xf>
    <xf numFmtId="0" fontId="3" fillId="0" borderId="15" xfId="0" applyFont="1" applyBorder="1" applyAlignment="1">
      <alignment horizontal="center" vertical="center"/>
    </xf>
    <xf numFmtId="0" fontId="3" fillId="0" borderId="3" xfId="0" applyFont="1" applyBorder="1" applyAlignment="1">
      <alignment vertical="center"/>
    </xf>
    <xf numFmtId="0" fontId="3" fillId="0" borderId="13" xfId="0" applyFont="1" applyBorder="1" applyAlignment="1">
      <alignment horizontal="center" vertical="center"/>
    </xf>
    <xf numFmtId="0" fontId="13" fillId="0" borderId="14" xfId="2" applyFont="1" applyBorder="1" applyAlignment="1">
      <alignment horizontal="center" vertical="center"/>
    </xf>
    <xf numFmtId="0" fontId="11" fillId="6" borderId="6" xfId="0" applyFont="1" applyFill="1" applyBorder="1" applyAlignment="1">
      <alignment horizontal="center" vertical="center" wrapText="1"/>
    </xf>
    <xf numFmtId="0" fontId="3" fillId="14" borderId="0" xfId="0" applyFont="1" applyFill="1" applyAlignment="1">
      <alignment horizontal="center" vertical="center" wrapText="1"/>
    </xf>
    <xf numFmtId="0" fontId="11" fillId="0" borderId="0" xfId="0" applyFont="1" applyAlignment="1">
      <alignment vertical="center" wrapText="1"/>
    </xf>
    <xf numFmtId="0" fontId="11" fillId="0" borderId="0" xfId="0" applyFont="1" applyAlignment="1">
      <alignment vertical="center"/>
    </xf>
    <xf numFmtId="1" fontId="3" fillId="0" borderId="0" xfId="0" applyNumberFormat="1" applyFont="1" applyAlignment="1">
      <alignment horizontal="center" vertical="center" wrapText="1"/>
    </xf>
    <xf numFmtId="0" fontId="8" fillId="2" borderId="11" xfId="0" applyFont="1" applyFill="1" applyBorder="1" applyAlignment="1">
      <alignment horizontal="center" vertical="center" wrapText="1"/>
    </xf>
    <xf numFmtId="0" fontId="3" fillId="0" borderId="9" xfId="0" applyFont="1" applyBorder="1" applyAlignment="1">
      <alignment horizontal="center" vertical="center" wrapText="1"/>
    </xf>
    <xf numFmtId="0" fontId="2" fillId="16" borderId="14" xfId="0" applyFont="1" applyFill="1" applyBorder="1" applyAlignment="1">
      <alignment horizontal="center" vertical="center"/>
    </xf>
    <xf numFmtId="0" fontId="2" fillId="11" borderId="14" xfId="0" applyFont="1" applyFill="1" applyBorder="1" applyAlignment="1">
      <alignment horizontal="center" vertical="center"/>
    </xf>
    <xf numFmtId="0" fontId="2" fillId="7" borderId="14" xfId="0" applyFont="1" applyFill="1" applyBorder="1" applyAlignment="1">
      <alignment horizontal="center" vertical="center"/>
    </xf>
    <xf numFmtId="0" fontId="2" fillId="7" borderId="15" xfId="0" applyFont="1" applyFill="1" applyBorder="1" applyAlignment="1">
      <alignment horizontal="center" vertical="center"/>
    </xf>
    <xf numFmtId="0" fontId="13" fillId="0" borderId="13" xfId="2" applyFont="1" applyBorder="1" applyAlignment="1">
      <alignment horizontal="center" vertical="center"/>
    </xf>
    <xf numFmtId="0" fontId="2" fillId="16" borderId="13" xfId="0" applyFont="1" applyFill="1" applyBorder="1" applyAlignment="1">
      <alignment horizontal="center" vertical="center"/>
    </xf>
    <xf numFmtId="0" fontId="2" fillId="11" borderId="13" xfId="0" applyFont="1" applyFill="1" applyBorder="1" applyAlignment="1">
      <alignment horizontal="center" vertical="center"/>
    </xf>
    <xf numFmtId="164" fontId="3" fillId="0" borderId="0" xfId="0" applyNumberFormat="1" applyFont="1" applyAlignment="1">
      <alignment horizontal="center" vertical="center" wrapText="1"/>
    </xf>
    <xf numFmtId="0" fontId="14" fillId="0" borderId="0" xfId="0" applyFont="1" applyAlignment="1">
      <alignment vertical="center"/>
    </xf>
    <xf numFmtId="0" fontId="14" fillId="0" borderId="5" xfId="0" applyFont="1" applyBorder="1" applyAlignment="1">
      <alignment horizontal="center" vertical="center"/>
    </xf>
    <xf numFmtId="0" fontId="15" fillId="3" borderId="10" xfId="0" applyFont="1" applyFill="1" applyBorder="1" applyAlignment="1">
      <alignment horizontal="center" vertical="center"/>
    </xf>
    <xf numFmtId="0" fontId="15" fillId="3" borderId="11" xfId="0" applyFont="1" applyFill="1" applyBorder="1" applyAlignment="1">
      <alignment horizontal="center" vertical="center"/>
    </xf>
    <xf numFmtId="0" fontId="15" fillId="11" borderId="10" xfId="0" applyFont="1" applyFill="1" applyBorder="1" applyAlignment="1">
      <alignment horizontal="center" vertical="center"/>
    </xf>
    <xf numFmtId="0" fontId="15" fillId="11" borderId="11" xfId="0" applyFont="1" applyFill="1" applyBorder="1" applyAlignment="1">
      <alignment horizontal="center" vertical="center"/>
    </xf>
    <xf numFmtId="0" fontId="15" fillId="11" borderId="12" xfId="0" applyFont="1" applyFill="1" applyBorder="1" applyAlignment="1">
      <alignment horizontal="center" vertical="center"/>
    </xf>
    <xf numFmtId="0" fontId="16" fillId="12" borderId="11" xfId="0" applyFont="1" applyFill="1" applyBorder="1" applyAlignment="1">
      <alignment horizontal="center" vertical="center"/>
    </xf>
    <xf numFmtId="0" fontId="16" fillId="13" borderId="10" xfId="0" applyFont="1" applyFill="1" applyBorder="1" applyAlignment="1">
      <alignment horizontal="center" vertical="center"/>
    </xf>
    <xf numFmtId="0" fontId="16" fillId="13" borderId="11" xfId="0" applyFont="1" applyFill="1" applyBorder="1" applyAlignment="1">
      <alignment horizontal="center" vertical="center"/>
    </xf>
    <xf numFmtId="0" fontId="14" fillId="0" borderId="15" xfId="0" applyFont="1" applyBorder="1" applyAlignment="1">
      <alignment horizontal="center" vertical="center"/>
    </xf>
    <xf numFmtId="0" fontId="16" fillId="2" borderId="1" xfId="0" applyFont="1" applyFill="1" applyBorder="1" applyAlignment="1">
      <alignment horizontal="center" vertical="center" wrapText="1"/>
    </xf>
    <xf numFmtId="0" fontId="16" fillId="2" borderId="1" xfId="0" applyFont="1" applyFill="1" applyBorder="1" applyAlignment="1">
      <alignment horizontal="center" vertical="center"/>
    </xf>
    <xf numFmtId="0" fontId="4" fillId="2" borderId="1" xfId="0" applyFont="1" applyFill="1" applyBorder="1" applyAlignment="1">
      <alignment horizontal="center" vertical="center"/>
    </xf>
    <xf numFmtId="0" fontId="14" fillId="0" borderId="3" xfId="0" applyFont="1" applyBorder="1" applyAlignment="1">
      <alignment vertical="center"/>
    </xf>
    <xf numFmtId="0" fontId="14" fillId="0" borderId="13" xfId="0" applyFont="1" applyBorder="1" applyAlignment="1">
      <alignment vertical="center"/>
    </xf>
    <xf numFmtId="0" fontId="14" fillId="0" borderId="14" xfId="0" applyFont="1" applyBorder="1" applyAlignment="1">
      <alignment vertical="center"/>
    </xf>
    <xf numFmtId="0" fontId="14" fillId="0" borderId="1" xfId="0" applyFont="1" applyBorder="1" applyAlignment="1">
      <alignment vertical="center"/>
    </xf>
    <xf numFmtId="0" fontId="14" fillId="0" borderId="11" xfId="0" applyFont="1" applyBorder="1" applyAlignment="1">
      <alignment vertical="center"/>
    </xf>
    <xf numFmtId="0" fontId="14" fillId="0" borderId="11" xfId="0" applyFont="1" applyBorder="1" applyAlignment="1">
      <alignment horizontal="center" vertical="center"/>
    </xf>
    <xf numFmtId="0" fontId="14" fillId="0" borderId="10" xfId="0" applyFont="1" applyBorder="1" applyAlignment="1">
      <alignment horizontal="center" vertical="center"/>
    </xf>
    <xf numFmtId="0" fontId="14" fillId="0" borderId="12" xfId="0" applyFont="1" applyBorder="1" applyAlignment="1">
      <alignment horizontal="center" vertical="center"/>
    </xf>
    <xf numFmtId="2" fontId="14" fillId="0" borderId="10" xfId="0" applyNumberFormat="1" applyFont="1" applyBorder="1" applyAlignment="1">
      <alignment horizontal="center" vertical="center"/>
    </xf>
    <xf numFmtId="1" fontId="14" fillId="0" borderId="11" xfId="0" applyNumberFormat="1" applyFont="1" applyBorder="1" applyAlignment="1">
      <alignment horizontal="center" vertical="center"/>
    </xf>
    <xf numFmtId="2" fontId="14" fillId="0" borderId="12" xfId="0" applyNumberFormat="1" applyFont="1" applyBorder="1" applyAlignment="1">
      <alignment horizontal="center" vertical="center"/>
    </xf>
    <xf numFmtId="9" fontId="14" fillId="0" borderId="11" xfId="0" applyNumberFormat="1" applyFont="1" applyBorder="1" applyAlignment="1">
      <alignment horizontal="center" vertical="center"/>
    </xf>
    <xf numFmtId="9" fontId="14" fillId="0" borderId="10" xfId="0" applyNumberFormat="1" applyFont="1" applyBorder="1" applyAlignment="1">
      <alignment horizontal="center" vertical="center"/>
    </xf>
    <xf numFmtId="1" fontId="14" fillId="0" borderId="12" xfId="0" applyNumberFormat="1" applyFont="1" applyBorder="1" applyAlignment="1">
      <alignment horizontal="center" vertical="center"/>
    </xf>
    <xf numFmtId="0" fontId="17" fillId="19" borderId="1" xfId="0" applyFont="1" applyFill="1" applyBorder="1" applyAlignment="1">
      <alignment horizontal="center" vertical="center"/>
    </xf>
    <xf numFmtId="0" fontId="15" fillId="0" borderId="0" xfId="0" applyFont="1" applyAlignment="1">
      <alignment horizontal="right" vertical="center"/>
    </xf>
    <xf numFmtId="1" fontId="14" fillId="0" borderId="0" xfId="0" applyNumberFormat="1" applyFont="1" applyAlignment="1">
      <alignment horizontal="center" vertical="center"/>
    </xf>
    <xf numFmtId="9" fontId="14" fillId="0" borderId="0" xfId="0" applyNumberFormat="1" applyFont="1" applyAlignment="1">
      <alignment horizontal="center" vertical="center"/>
    </xf>
    <xf numFmtId="0" fontId="19" fillId="20" borderId="3" xfId="0" applyFont="1" applyFill="1" applyBorder="1" applyAlignment="1">
      <alignment horizontal="center" vertical="center"/>
    </xf>
    <xf numFmtId="2" fontId="19" fillId="20" borderId="2" xfId="0" applyNumberFormat="1" applyFont="1" applyFill="1" applyBorder="1" applyAlignment="1">
      <alignment horizontal="center" vertical="center"/>
    </xf>
    <xf numFmtId="1" fontId="19" fillId="20" borderId="3" xfId="0" applyNumberFormat="1" applyFont="1" applyFill="1" applyBorder="1" applyAlignment="1">
      <alignment horizontal="center" vertical="center"/>
    </xf>
    <xf numFmtId="2" fontId="19" fillId="20" borderId="4" xfId="0" applyNumberFormat="1" applyFont="1" applyFill="1" applyBorder="1" applyAlignment="1">
      <alignment horizontal="center" vertical="center"/>
    </xf>
    <xf numFmtId="9" fontId="19" fillId="20" borderId="3" xfId="0" applyNumberFormat="1" applyFont="1" applyFill="1" applyBorder="1" applyAlignment="1">
      <alignment horizontal="center" vertical="center"/>
    </xf>
    <xf numFmtId="1" fontId="19" fillId="20" borderId="4" xfId="0" applyNumberFormat="1" applyFont="1" applyFill="1" applyBorder="1" applyAlignment="1">
      <alignment horizontal="center" vertical="center"/>
    </xf>
    <xf numFmtId="0" fontId="19" fillId="20" borderId="10" xfId="0" applyFont="1" applyFill="1" applyBorder="1" applyAlignment="1">
      <alignment horizontal="center" vertical="center"/>
    </xf>
    <xf numFmtId="0" fontId="19" fillId="20" borderId="5" xfId="0" applyFont="1" applyFill="1" applyBorder="1" applyAlignment="1">
      <alignment horizontal="center" vertical="center"/>
    </xf>
    <xf numFmtId="1" fontId="19" fillId="20" borderId="11" xfId="0" applyNumberFormat="1" applyFont="1" applyFill="1" applyBorder="1" applyAlignment="1">
      <alignment horizontal="center" vertical="center"/>
    </xf>
    <xf numFmtId="1" fontId="14" fillId="0" borderId="8" xfId="0" applyNumberFormat="1" applyFont="1" applyBorder="1" applyAlignment="1">
      <alignment horizontal="center" vertical="center"/>
    </xf>
    <xf numFmtId="9" fontId="14" fillId="0" borderId="8" xfId="0" applyNumberFormat="1" applyFont="1" applyBorder="1" applyAlignment="1">
      <alignment horizontal="center" vertical="center"/>
    </xf>
    <xf numFmtId="2" fontId="14" fillId="0" borderId="5" xfId="0" applyNumberFormat="1" applyFont="1" applyBorder="1" applyAlignment="1">
      <alignment horizontal="center" vertical="center"/>
    </xf>
    <xf numFmtId="2" fontId="14" fillId="0" borderId="6" xfId="0" applyNumberFormat="1" applyFont="1" applyBorder="1" applyAlignment="1">
      <alignment horizontal="center" vertical="center"/>
    </xf>
    <xf numFmtId="2" fontId="14" fillId="0" borderId="7" xfId="0" applyNumberFormat="1" applyFont="1" applyBorder="1" applyAlignment="1">
      <alignment horizontal="center" vertical="center"/>
    </xf>
    <xf numFmtId="2" fontId="14" fillId="0" borderId="9" xfId="0" applyNumberFormat="1" applyFont="1" applyBorder="1" applyAlignment="1">
      <alignment horizontal="center" vertical="center"/>
    </xf>
    <xf numFmtId="9" fontId="14" fillId="0" borderId="5" xfId="0" applyNumberFormat="1" applyFont="1" applyBorder="1" applyAlignment="1">
      <alignment horizontal="center" vertical="center"/>
    </xf>
    <xf numFmtId="9" fontId="14" fillId="0" borderId="7" xfId="0" applyNumberFormat="1" applyFont="1" applyBorder="1" applyAlignment="1">
      <alignment horizontal="center" vertical="center"/>
    </xf>
    <xf numFmtId="0" fontId="14" fillId="0" borderId="0" xfId="0" applyFont="1" applyAlignment="1">
      <alignment horizontal="center" vertical="center"/>
    </xf>
    <xf numFmtId="1" fontId="3" fillId="0" borderId="30" xfId="0" applyNumberFormat="1" applyFont="1" applyBorder="1" applyAlignment="1">
      <alignment horizontal="center" vertical="center" wrapText="1"/>
    </xf>
    <xf numFmtId="0" fontId="3" fillId="14" borderId="30" xfId="0" applyFont="1" applyFill="1" applyBorder="1" applyAlignment="1">
      <alignment horizontal="center" vertical="center" wrapText="1"/>
    </xf>
    <xf numFmtId="0" fontId="3" fillId="0" borderId="30" xfId="0" applyFont="1" applyBorder="1" applyAlignment="1">
      <alignment horizontal="center" vertical="center" wrapText="1"/>
    </xf>
    <xf numFmtId="0" fontId="2" fillId="7" borderId="15" xfId="0" applyFont="1" applyFill="1" applyBorder="1" applyAlignment="1">
      <alignment vertical="center" wrapText="1"/>
    </xf>
    <xf numFmtId="0" fontId="19" fillId="20" borderId="11" xfId="0" applyFont="1" applyFill="1" applyBorder="1" applyAlignment="1">
      <alignment horizontal="center" vertical="center"/>
    </xf>
    <xf numFmtId="0" fontId="3" fillId="9" borderId="13" xfId="0" applyFont="1" applyFill="1" applyBorder="1" applyAlignment="1">
      <alignment horizontal="center" vertical="center" wrapText="1"/>
    </xf>
    <xf numFmtId="0" fontId="3" fillId="9" borderId="14" xfId="0" applyFont="1" applyFill="1" applyBorder="1" applyAlignment="1">
      <alignment horizontal="center" vertical="center" wrapText="1"/>
    </xf>
    <xf numFmtId="0" fontId="3" fillId="0" borderId="8" xfId="0" applyFont="1" applyBorder="1" applyAlignment="1">
      <alignment horizontal="center" vertical="center" wrapText="1"/>
    </xf>
    <xf numFmtId="0" fontId="18" fillId="0" borderId="0" xfId="0" applyFont="1" applyAlignment="1">
      <alignment horizontal="center" vertical="center" textRotation="90" wrapText="1"/>
    </xf>
    <xf numFmtId="0" fontId="14" fillId="0" borderId="6" xfId="0" applyFont="1" applyBorder="1" applyAlignment="1">
      <alignment horizontal="center" vertical="center"/>
    </xf>
    <xf numFmtId="0" fontId="14" fillId="0" borderId="8" xfId="0" applyFont="1" applyBorder="1" applyAlignment="1">
      <alignment horizontal="center" vertical="center"/>
    </xf>
    <xf numFmtId="0" fontId="16" fillId="2" borderId="12" xfId="0" applyFont="1" applyFill="1" applyBorder="1" applyAlignment="1">
      <alignment horizontal="center" vertical="center"/>
    </xf>
    <xf numFmtId="2" fontId="14" fillId="0" borderId="11" xfId="0" applyNumberFormat="1" applyFont="1" applyBorder="1" applyAlignment="1">
      <alignment horizontal="center" vertical="center"/>
    </xf>
    <xf numFmtId="0" fontId="2" fillId="11" borderId="1" xfId="0" applyFont="1" applyFill="1" applyBorder="1" applyAlignment="1">
      <alignment horizontal="center" vertical="center"/>
    </xf>
    <xf numFmtId="0" fontId="2" fillId="11" borderId="11" xfId="0" applyFont="1" applyFill="1" applyBorder="1" applyAlignment="1">
      <alignment vertical="center"/>
    </xf>
    <xf numFmtId="0" fontId="2" fillId="11" borderId="3" xfId="0" applyFont="1" applyFill="1" applyBorder="1" applyAlignment="1">
      <alignment vertical="center"/>
    </xf>
    <xf numFmtId="0" fontId="2" fillId="11" borderId="22" xfId="0" applyFont="1" applyFill="1" applyBorder="1" applyAlignment="1">
      <alignment vertical="center" wrapText="1"/>
    </xf>
    <xf numFmtId="0" fontId="2" fillId="11" borderId="23" xfId="0" applyFont="1" applyFill="1" applyBorder="1" applyAlignment="1">
      <alignment vertical="center" wrapText="1"/>
    </xf>
    <xf numFmtId="0" fontId="2" fillId="11" borderId="24" xfId="0" applyFont="1" applyFill="1" applyBorder="1" applyAlignment="1">
      <alignment vertical="center" wrapText="1"/>
    </xf>
    <xf numFmtId="0" fontId="3" fillId="11" borderId="22" xfId="0" applyFont="1" applyFill="1" applyBorder="1" applyAlignment="1">
      <alignment horizontal="left" vertical="center" wrapText="1"/>
    </xf>
    <xf numFmtId="0" fontId="2" fillId="11" borderId="22" xfId="0" applyFont="1" applyFill="1" applyBorder="1" applyAlignment="1">
      <alignment horizontal="left" vertical="center" wrapText="1"/>
    </xf>
    <xf numFmtId="0" fontId="23" fillId="9" borderId="13" xfId="0" applyFont="1" applyFill="1" applyBorder="1" applyAlignment="1">
      <alignment horizontal="center" vertical="center" wrapText="1"/>
    </xf>
    <xf numFmtId="0" fontId="14" fillId="9" borderId="2" xfId="0" applyFont="1" applyFill="1" applyBorder="1" applyAlignment="1">
      <alignment vertical="center"/>
    </xf>
    <xf numFmtId="0" fontId="14" fillId="9" borderId="10" xfId="0" applyFont="1" applyFill="1" applyBorder="1" applyAlignment="1">
      <alignment vertical="center"/>
    </xf>
    <xf numFmtId="0" fontId="14" fillId="9" borderId="5" xfId="0" applyFont="1" applyFill="1" applyBorder="1" applyAlignment="1">
      <alignment vertical="center"/>
    </xf>
    <xf numFmtId="0" fontId="14" fillId="0" borderId="15" xfId="0" applyFont="1" applyBorder="1" applyAlignment="1">
      <alignment vertical="center"/>
    </xf>
    <xf numFmtId="0" fontId="3" fillId="11" borderId="1" xfId="0" applyFont="1" applyFill="1" applyBorder="1" applyAlignment="1">
      <alignment horizontal="left" vertical="center" wrapText="1"/>
    </xf>
    <xf numFmtId="0" fontId="2" fillId="11" borderId="25" xfId="0" applyFont="1" applyFill="1" applyBorder="1" applyAlignment="1">
      <alignment vertical="center" wrapText="1"/>
    </xf>
    <xf numFmtId="0" fontId="0" fillId="0" borderId="32" xfId="0" applyBorder="1"/>
    <xf numFmtId="0" fontId="3" fillId="21" borderId="0" xfId="0" applyFont="1" applyFill="1" applyAlignment="1">
      <alignment vertical="center" wrapText="1"/>
    </xf>
    <xf numFmtId="0" fontId="2" fillId="15" borderId="22" xfId="0" applyFont="1" applyFill="1" applyBorder="1" applyAlignment="1">
      <alignment vertical="center" wrapText="1"/>
    </xf>
    <xf numFmtId="0" fontId="2" fillId="15" borderId="23" xfId="0" applyFont="1" applyFill="1" applyBorder="1" applyAlignment="1">
      <alignment vertical="center" wrapText="1"/>
    </xf>
    <xf numFmtId="0" fontId="2" fillId="15" borderId="24" xfId="0" applyFont="1" applyFill="1" applyBorder="1" applyAlignment="1">
      <alignment vertical="center" wrapText="1"/>
    </xf>
    <xf numFmtId="0" fontId="3" fillId="4" borderId="0" xfId="0" applyFont="1" applyFill="1" applyAlignment="1">
      <alignment horizontal="center" vertical="center" wrapText="1"/>
    </xf>
    <xf numFmtId="0" fontId="2" fillId="17" borderId="14" xfId="0" applyFont="1" applyFill="1" applyBorder="1" applyAlignment="1">
      <alignment horizontal="center" vertical="center"/>
    </xf>
    <xf numFmtId="0" fontId="3" fillId="0" borderId="10" xfId="0" applyFont="1" applyBorder="1" applyAlignment="1">
      <alignment vertical="center"/>
    </xf>
    <xf numFmtId="0" fontId="3" fillId="0" borderId="11" xfId="0" applyFont="1" applyBorder="1" applyAlignment="1">
      <alignment vertical="center"/>
    </xf>
    <xf numFmtId="0" fontId="2" fillId="17" borderId="15" xfId="0" applyFont="1" applyFill="1" applyBorder="1" applyAlignment="1">
      <alignment horizontal="center" vertical="center"/>
    </xf>
    <xf numFmtId="0" fontId="2" fillId="12" borderId="5" xfId="0" applyFont="1" applyFill="1" applyBorder="1" applyAlignment="1">
      <alignment horizontal="center" vertical="center"/>
    </xf>
    <xf numFmtId="0" fontId="2" fillId="0" borderId="0" xfId="0" applyFont="1" applyAlignment="1">
      <alignment horizontal="center" vertical="center"/>
    </xf>
    <xf numFmtId="0" fontId="3" fillId="22" borderId="0" xfId="0" applyFont="1" applyFill="1" applyAlignment="1">
      <alignment vertical="center"/>
    </xf>
    <xf numFmtId="0" fontId="15" fillId="19" borderId="6" xfId="0" applyFont="1" applyFill="1" applyBorder="1" applyAlignment="1">
      <alignment horizontal="center" vertical="center"/>
    </xf>
    <xf numFmtId="1" fontId="19" fillId="20" borderId="10" xfId="0" applyNumberFormat="1" applyFont="1" applyFill="1" applyBorder="1" applyAlignment="1">
      <alignment horizontal="center" vertical="center"/>
    </xf>
    <xf numFmtId="1" fontId="19" fillId="20" borderId="12" xfId="0" applyNumberFormat="1" applyFont="1" applyFill="1" applyBorder="1" applyAlignment="1">
      <alignment horizontal="center" vertical="center"/>
    </xf>
    <xf numFmtId="1" fontId="14" fillId="0" borderId="10" xfId="0" applyNumberFormat="1" applyFont="1" applyBorder="1" applyAlignment="1">
      <alignment horizontal="center" vertical="center"/>
    </xf>
    <xf numFmtId="0" fontId="16" fillId="17" borderId="11" xfId="0" applyFont="1" applyFill="1" applyBorder="1" applyAlignment="1">
      <alignment horizontal="center" vertical="center"/>
    </xf>
    <xf numFmtId="0" fontId="16" fillId="17" borderId="10" xfId="0" applyFont="1" applyFill="1" applyBorder="1" applyAlignment="1">
      <alignment horizontal="center" vertical="center"/>
    </xf>
    <xf numFmtId="0" fontId="16" fillId="17" borderId="12" xfId="0" applyFont="1" applyFill="1" applyBorder="1" applyAlignment="1">
      <alignment horizontal="center" vertical="center"/>
    </xf>
    <xf numFmtId="0" fontId="14" fillId="0" borderId="9" xfId="0" applyFont="1" applyBorder="1" applyAlignment="1">
      <alignment horizontal="center" vertical="center"/>
    </xf>
    <xf numFmtId="0" fontId="3" fillId="0" borderId="6" xfId="0" applyFont="1" applyBorder="1" applyAlignment="1">
      <alignment horizontal="center" vertical="center"/>
    </xf>
    <xf numFmtId="0" fontId="2" fillId="12" borderId="2" xfId="0" applyFont="1" applyFill="1" applyBorder="1" applyAlignment="1">
      <alignment horizontal="center" vertical="center"/>
    </xf>
    <xf numFmtId="0" fontId="3" fillId="0" borderId="4" xfId="0" applyFont="1" applyBorder="1" applyAlignment="1">
      <alignment horizontal="center" vertical="center"/>
    </xf>
    <xf numFmtId="0" fontId="3" fillId="0" borderId="9" xfId="0" applyFont="1" applyBorder="1" applyAlignment="1">
      <alignment horizontal="center" vertical="center"/>
    </xf>
    <xf numFmtId="0" fontId="4" fillId="0" borderId="0" xfId="0" applyFont="1" applyAlignment="1">
      <alignment vertical="center"/>
    </xf>
    <xf numFmtId="0" fontId="23" fillId="23" borderId="0" xfId="0" applyFont="1" applyFill="1" applyAlignment="1">
      <alignment vertical="center"/>
    </xf>
    <xf numFmtId="0" fontId="14" fillId="0" borderId="4" xfId="0" applyFont="1" applyBorder="1" applyAlignment="1">
      <alignment horizontal="center" vertical="center"/>
    </xf>
    <xf numFmtId="0" fontId="2" fillId="0" borderId="1" xfId="0" applyFont="1" applyBorder="1" applyAlignment="1">
      <alignment horizontal="center" vertical="center"/>
    </xf>
    <xf numFmtId="0" fontId="3" fillId="0" borderId="1" xfId="0" applyFont="1" applyBorder="1" applyAlignment="1">
      <alignment horizontal="center" vertical="center"/>
    </xf>
    <xf numFmtId="2" fontId="3" fillId="0" borderId="4" xfId="0" applyNumberFormat="1" applyFont="1" applyBorder="1" applyAlignment="1">
      <alignment horizontal="center" vertical="center" wrapText="1"/>
    </xf>
    <xf numFmtId="2" fontId="3" fillId="0" borderId="6" xfId="0" applyNumberFormat="1" applyFont="1" applyBorder="1" applyAlignment="1">
      <alignment horizontal="center" vertical="center" wrapText="1"/>
    </xf>
    <xf numFmtId="2" fontId="3" fillId="0" borderId="12" xfId="0" applyNumberFormat="1" applyFont="1" applyBorder="1" applyAlignment="1">
      <alignment horizontal="center" vertical="center" wrapText="1"/>
    </xf>
    <xf numFmtId="2" fontId="2" fillId="8" borderId="12" xfId="0" applyNumberFormat="1" applyFont="1" applyFill="1" applyBorder="1" applyAlignment="1">
      <alignment horizontal="center" vertical="center" wrapText="1"/>
    </xf>
    <xf numFmtId="1" fontId="3" fillId="0" borderId="6" xfId="0" applyNumberFormat="1" applyFont="1" applyBorder="1" applyAlignment="1">
      <alignment horizontal="center" vertical="center" wrapText="1"/>
    </xf>
    <xf numFmtId="1" fontId="3" fillId="0" borderId="4" xfId="0" applyNumberFormat="1" applyFont="1" applyBorder="1" applyAlignment="1">
      <alignment horizontal="center" vertical="center" wrapText="1"/>
    </xf>
    <xf numFmtId="1" fontId="3" fillId="0" borderId="9" xfId="0" applyNumberFormat="1" applyFont="1" applyBorder="1" applyAlignment="1">
      <alignment horizontal="center" vertical="center" wrapText="1"/>
    </xf>
    <xf numFmtId="1" fontId="3" fillId="0" borderId="12" xfId="0" applyNumberFormat="1" applyFont="1" applyBorder="1" applyAlignment="1">
      <alignment horizontal="center" vertical="center" wrapText="1"/>
    </xf>
    <xf numFmtId="1" fontId="2" fillId="8" borderId="12" xfId="0" applyNumberFormat="1" applyFont="1" applyFill="1" applyBorder="1" applyAlignment="1">
      <alignment horizontal="center" vertical="center" wrapText="1"/>
    </xf>
    <xf numFmtId="1" fontId="2" fillId="8" borderId="9" xfId="0" applyNumberFormat="1" applyFont="1" applyFill="1" applyBorder="1" applyAlignment="1">
      <alignment horizontal="center" vertical="center" wrapText="1"/>
    </xf>
    <xf numFmtId="0" fontId="24" fillId="9" borderId="13" xfId="0" applyFont="1" applyFill="1" applyBorder="1" applyAlignment="1">
      <alignment horizontal="center" wrapText="1"/>
    </xf>
    <xf numFmtId="0" fontId="3" fillId="0" borderId="31" xfId="0" applyFont="1" applyBorder="1" applyAlignment="1">
      <alignment horizontal="center" vertical="center" wrapText="1"/>
    </xf>
    <xf numFmtId="0" fontId="3" fillId="0" borderId="31" xfId="0" applyFont="1" applyBorder="1" applyAlignment="1">
      <alignment vertical="center" wrapText="1"/>
    </xf>
    <xf numFmtId="0" fontId="2" fillId="8" borderId="12" xfId="0" applyFont="1" applyFill="1" applyBorder="1" applyAlignment="1">
      <alignment horizontal="center" vertical="center" wrapText="1"/>
    </xf>
    <xf numFmtId="9" fontId="2" fillId="8" borderId="12" xfId="0" applyNumberFormat="1" applyFont="1" applyFill="1" applyBorder="1" applyAlignment="1">
      <alignment horizontal="center" vertical="center" wrapText="1"/>
    </xf>
    <xf numFmtId="165" fontId="3" fillId="0" borderId="0" xfId="0" applyNumberFormat="1" applyFont="1" applyAlignment="1">
      <alignment horizontal="center" vertical="center" wrapText="1"/>
    </xf>
    <xf numFmtId="165" fontId="3" fillId="14" borderId="0" xfId="0" applyNumberFormat="1" applyFont="1" applyFill="1" applyAlignment="1">
      <alignment horizontal="center" vertical="center" wrapText="1"/>
    </xf>
    <xf numFmtId="165" fontId="3" fillId="0" borderId="6" xfId="0" applyNumberFormat="1" applyFont="1" applyBorder="1" applyAlignment="1">
      <alignment horizontal="center" vertical="center" wrapText="1"/>
    </xf>
    <xf numFmtId="9" fontId="2" fillId="8" borderId="12" xfId="1" applyFont="1" applyFill="1" applyBorder="1" applyAlignment="1">
      <alignment horizontal="center" vertical="center" wrapText="1"/>
    </xf>
    <xf numFmtId="2" fontId="14" fillId="0" borderId="0" xfId="0" applyNumberFormat="1" applyFont="1" applyAlignment="1">
      <alignment horizontal="center" vertical="center"/>
    </xf>
    <xf numFmtId="2" fontId="14" fillId="0" borderId="8" xfId="0" applyNumberFormat="1" applyFont="1" applyBorder="1" applyAlignment="1">
      <alignment horizontal="center" vertical="center"/>
    </xf>
    <xf numFmtId="0" fontId="15" fillId="19" borderId="0" xfId="0" applyFont="1" applyFill="1" applyAlignment="1">
      <alignment horizontal="center" vertical="center"/>
    </xf>
    <xf numFmtId="0" fontId="15" fillId="19" borderId="5" xfId="0" applyFont="1" applyFill="1" applyBorder="1" applyAlignment="1">
      <alignment horizontal="center" vertical="center"/>
    </xf>
    <xf numFmtId="2" fontId="19" fillId="20" borderId="6" xfId="0" applyNumberFormat="1" applyFont="1" applyFill="1" applyBorder="1" applyAlignment="1">
      <alignment horizontal="center" vertical="center"/>
    </xf>
    <xf numFmtId="2" fontId="19" fillId="20" borderId="12" xfId="0" applyNumberFormat="1" applyFont="1" applyFill="1" applyBorder="1" applyAlignment="1">
      <alignment horizontal="center" vertical="center"/>
    </xf>
    <xf numFmtId="1" fontId="19" fillId="20" borderId="5" xfId="0" applyNumberFormat="1" applyFont="1" applyFill="1" applyBorder="1" applyAlignment="1">
      <alignment horizontal="center" vertical="center"/>
    </xf>
    <xf numFmtId="1" fontId="19" fillId="20" borderId="2" xfId="0" applyNumberFormat="1" applyFont="1" applyFill="1" applyBorder="1" applyAlignment="1">
      <alignment horizontal="center" vertical="center"/>
    </xf>
    <xf numFmtId="1" fontId="14" fillId="0" borderId="13" xfId="0" applyNumberFormat="1" applyFont="1" applyBorder="1" applyAlignment="1">
      <alignment horizontal="center" vertical="center"/>
    </xf>
    <xf numFmtId="0" fontId="3" fillId="14" borderId="31" xfId="0" applyFont="1" applyFill="1" applyBorder="1" applyAlignment="1">
      <alignment horizontal="center" vertical="center" wrapText="1"/>
    </xf>
    <xf numFmtId="0" fontId="3" fillId="14" borderId="6" xfId="0" applyFont="1" applyFill="1" applyBorder="1" applyAlignment="1">
      <alignment horizontal="center" vertical="center" wrapText="1"/>
    </xf>
    <xf numFmtId="2" fontId="3" fillId="0" borderId="0" xfId="0" applyNumberFormat="1" applyFont="1" applyAlignment="1">
      <alignment horizontal="center" vertical="center" wrapText="1"/>
    </xf>
    <xf numFmtId="1" fontId="3" fillId="14" borderId="0" xfId="0" applyNumberFormat="1" applyFont="1" applyFill="1" applyAlignment="1">
      <alignment horizontal="center" vertical="center" wrapText="1"/>
    </xf>
    <xf numFmtId="0" fontId="19" fillId="20" borderId="7" xfId="0" applyFont="1" applyFill="1" applyBorder="1" applyAlignment="1">
      <alignment horizontal="center" vertical="center"/>
    </xf>
    <xf numFmtId="0" fontId="29" fillId="0" borderId="0" xfId="0" applyFont="1"/>
    <xf numFmtId="0" fontId="30" fillId="25" borderId="16" xfId="0" applyFont="1" applyFill="1" applyBorder="1"/>
    <xf numFmtId="0" fontId="30" fillId="25" borderId="16" xfId="0" applyFont="1" applyFill="1" applyBorder="1" applyAlignment="1">
      <alignment horizontal="center"/>
    </xf>
    <xf numFmtId="0" fontId="31" fillId="26" borderId="16" xfId="0" applyFont="1" applyFill="1" applyBorder="1" applyAlignment="1">
      <alignment wrapText="1"/>
    </xf>
    <xf numFmtId="0" fontId="30" fillId="25" borderId="16" xfId="0" applyFont="1" applyFill="1" applyBorder="1" applyAlignment="1">
      <alignment horizontal="center" vertical="center"/>
    </xf>
    <xf numFmtId="0" fontId="31" fillId="26" borderId="16" xfId="0" applyFont="1" applyFill="1" applyBorder="1" applyAlignment="1">
      <alignment vertical="center" wrapText="1"/>
    </xf>
    <xf numFmtId="0" fontId="0" fillId="0" borderId="5" xfId="0" applyBorder="1"/>
    <xf numFmtId="0" fontId="0" fillId="0" borderId="8" xfId="0" applyBorder="1"/>
    <xf numFmtId="0" fontId="0" fillId="0" borderId="6" xfId="0" applyBorder="1"/>
    <xf numFmtId="0" fontId="33" fillId="27" borderId="0" xfId="0" applyFont="1" applyFill="1"/>
    <xf numFmtId="1" fontId="14" fillId="0" borderId="9" xfId="0" applyNumberFormat="1" applyFont="1" applyBorder="1" applyAlignment="1">
      <alignment horizontal="center" vertical="center"/>
    </xf>
    <xf numFmtId="0" fontId="33" fillId="0" borderId="0" xfId="0" applyFont="1"/>
    <xf numFmtId="0" fontId="33" fillId="27" borderId="0" xfId="0" applyFont="1" applyFill="1" applyAlignment="1">
      <alignment horizontal="center"/>
    </xf>
    <xf numFmtId="0" fontId="16" fillId="22" borderId="12" xfId="0" applyFont="1" applyFill="1" applyBorder="1" applyAlignment="1">
      <alignment horizontal="center" vertical="center"/>
    </xf>
    <xf numFmtId="0" fontId="33" fillId="27" borderId="0" xfId="0" applyFont="1" applyFill="1" applyAlignment="1">
      <alignment horizontal="center" vertical="center" wrapText="1"/>
    </xf>
    <xf numFmtId="0" fontId="0" fillId="0" borderId="7" xfId="0" applyBorder="1"/>
    <xf numFmtId="0" fontId="0" fillId="0" borderId="9" xfId="0" applyBorder="1"/>
    <xf numFmtId="0" fontId="12" fillId="27" borderId="0" xfId="2" applyFill="1" applyAlignment="1">
      <alignment horizontal="center" vertical="center" wrapText="1"/>
    </xf>
    <xf numFmtId="0" fontId="35" fillId="23" borderId="0" xfId="0" applyFont="1" applyFill="1" applyAlignment="1">
      <alignment vertical="center" wrapText="1"/>
    </xf>
    <xf numFmtId="0" fontId="2" fillId="0" borderId="0" xfId="0" applyFont="1" applyAlignment="1">
      <alignment horizontal="center" vertical="center" wrapText="1"/>
    </xf>
    <xf numFmtId="1" fontId="14" fillId="0" borderId="4" xfId="0" applyNumberFormat="1" applyFont="1" applyBorder="1" applyAlignment="1">
      <alignment horizontal="center" vertical="center"/>
    </xf>
    <xf numFmtId="0" fontId="13" fillId="0" borderId="1" xfId="2" applyFont="1" applyBorder="1" applyAlignment="1">
      <alignment horizontal="center" vertical="center"/>
    </xf>
    <xf numFmtId="0" fontId="14" fillId="0" borderId="0" xfId="0" applyFont="1" applyAlignment="1">
      <alignment horizontal="center" vertical="center" wrapText="1"/>
    </xf>
    <xf numFmtId="0" fontId="14" fillId="0" borderId="0" xfId="0" applyFont="1" applyAlignment="1">
      <alignment vertical="center" wrapText="1"/>
    </xf>
    <xf numFmtId="0" fontId="37" fillId="23" borderId="0" xfId="0" applyFont="1" applyFill="1" applyAlignment="1">
      <alignment vertical="center" wrapText="1"/>
    </xf>
    <xf numFmtId="0" fontId="3" fillId="9" borderId="25" xfId="0" applyFont="1" applyFill="1" applyBorder="1" applyAlignment="1">
      <alignment horizontal="center" vertical="center" wrapText="1"/>
    </xf>
    <xf numFmtId="1" fontId="3" fillId="9" borderId="13" xfId="0" applyNumberFormat="1" applyFont="1" applyFill="1" applyBorder="1" applyAlignment="1">
      <alignment horizontal="center" vertical="center" wrapText="1"/>
    </xf>
    <xf numFmtId="0" fontId="3" fillId="9" borderId="15" xfId="0" applyFont="1" applyFill="1" applyBorder="1" applyAlignment="1">
      <alignment horizontal="center" vertical="center" wrapText="1"/>
    </xf>
    <xf numFmtId="1" fontId="3" fillId="9" borderId="1" xfId="0" applyNumberFormat="1" applyFont="1" applyFill="1" applyBorder="1" applyAlignment="1">
      <alignment horizontal="center" vertical="center" wrapText="1"/>
    </xf>
    <xf numFmtId="0" fontId="2" fillId="9" borderId="1" xfId="0" applyFont="1" applyFill="1" applyBorder="1" applyAlignment="1">
      <alignment horizontal="center" vertical="center" wrapText="1"/>
    </xf>
    <xf numFmtId="166" fontId="19" fillId="20" borderId="2" xfId="0" applyNumberFormat="1" applyFont="1" applyFill="1" applyBorder="1" applyAlignment="1">
      <alignment horizontal="center" vertical="center"/>
    </xf>
    <xf numFmtId="0" fontId="20" fillId="6" borderId="7" xfId="0" applyFont="1" applyFill="1" applyBorder="1" applyAlignment="1">
      <alignment horizontal="center" vertical="center" wrapText="1"/>
    </xf>
    <xf numFmtId="0" fontId="20" fillId="6" borderId="8" xfId="0" applyFont="1" applyFill="1" applyBorder="1" applyAlignment="1">
      <alignment horizontal="center" vertical="center" wrapText="1"/>
    </xf>
    <xf numFmtId="0" fontId="20" fillId="6" borderId="5" xfId="0" applyFont="1" applyFill="1" applyBorder="1" applyAlignment="1">
      <alignment horizontal="center" vertical="center" wrapText="1"/>
    </xf>
    <xf numFmtId="0" fontId="20" fillId="6" borderId="6" xfId="0" applyFont="1" applyFill="1" applyBorder="1" applyAlignment="1">
      <alignment horizontal="center" vertical="center" wrapText="1"/>
    </xf>
    <xf numFmtId="0" fontId="20" fillId="6" borderId="10" xfId="0" applyFont="1" applyFill="1" applyBorder="1" applyAlignment="1">
      <alignment horizontal="center" vertical="center" wrapText="1"/>
    </xf>
    <xf numFmtId="0" fontId="20" fillId="6" borderId="1" xfId="0" applyFont="1" applyFill="1" applyBorder="1" applyAlignment="1">
      <alignment horizontal="center" vertical="center" wrapText="1"/>
    </xf>
    <xf numFmtId="1" fontId="19" fillId="20" borderId="0" xfId="0" applyNumberFormat="1" applyFont="1" applyFill="1" applyAlignment="1">
      <alignment horizontal="center" vertical="center"/>
    </xf>
    <xf numFmtId="0" fontId="20" fillId="6" borderId="0" xfId="0" applyFont="1" applyFill="1" applyAlignment="1">
      <alignment horizontal="center" vertical="center" wrapText="1"/>
    </xf>
    <xf numFmtId="0" fontId="20" fillId="6" borderId="0" xfId="0" quotePrefix="1" applyFont="1" applyFill="1" applyAlignment="1">
      <alignment horizontal="center" vertical="center" wrapText="1"/>
    </xf>
    <xf numFmtId="0" fontId="20" fillId="6" borderId="6" xfId="0" quotePrefix="1" applyFont="1" applyFill="1" applyBorder="1" applyAlignment="1">
      <alignment horizontal="center" vertical="center" wrapText="1"/>
    </xf>
    <xf numFmtId="0" fontId="14" fillId="22" borderId="0" xfId="0" applyFont="1" applyFill="1" applyAlignment="1">
      <alignment vertical="center"/>
    </xf>
    <xf numFmtId="0" fontId="14" fillId="22" borderId="0" xfId="0" applyFont="1" applyFill="1" applyAlignment="1">
      <alignment horizontal="center" vertical="center" wrapText="1"/>
    </xf>
    <xf numFmtId="0" fontId="14" fillId="22" borderId="6" xfId="0" applyFont="1" applyFill="1" applyBorder="1" applyAlignment="1">
      <alignment horizontal="center" vertical="center"/>
    </xf>
    <xf numFmtId="0" fontId="15" fillId="22" borderId="6" xfId="0" applyFont="1" applyFill="1" applyBorder="1" applyAlignment="1">
      <alignment horizontal="center" vertical="center"/>
    </xf>
    <xf numFmtId="0" fontId="14" fillId="22" borderId="12" xfId="0" applyFont="1" applyFill="1" applyBorder="1" applyAlignment="1">
      <alignment horizontal="center" vertical="center"/>
    </xf>
    <xf numFmtId="0" fontId="20" fillId="22" borderId="9" xfId="0" applyFont="1" applyFill="1" applyBorder="1" applyAlignment="1">
      <alignment horizontal="center" vertical="center" wrapText="1"/>
    </xf>
    <xf numFmtId="1" fontId="19" fillId="22" borderId="4" xfId="0" applyNumberFormat="1" applyFont="1" applyFill="1" applyBorder="1" applyAlignment="1">
      <alignment horizontal="center" vertical="center"/>
    </xf>
    <xf numFmtId="1" fontId="14" fillId="22" borderId="12" xfId="0" applyNumberFormat="1" applyFont="1" applyFill="1" applyBorder="1" applyAlignment="1">
      <alignment horizontal="center" vertical="center"/>
    </xf>
    <xf numFmtId="1" fontId="14" fillId="22" borderId="11" xfId="0" applyNumberFormat="1" applyFont="1" applyFill="1" applyBorder="1" applyAlignment="1">
      <alignment horizontal="center" vertical="center"/>
    </xf>
    <xf numFmtId="0" fontId="14" fillId="22" borderId="0" xfId="0" applyFont="1" applyFill="1" applyAlignment="1">
      <alignment horizontal="center" vertical="center"/>
    </xf>
    <xf numFmtId="0" fontId="3" fillId="0" borderId="38" xfId="0" applyFont="1" applyBorder="1" applyAlignment="1">
      <alignment vertical="top" wrapText="1"/>
    </xf>
    <xf numFmtId="0" fontId="3" fillId="0" borderId="0" xfId="0" applyFont="1" applyAlignment="1">
      <alignment vertical="top" wrapText="1"/>
    </xf>
    <xf numFmtId="0" fontId="14" fillId="21" borderId="0" xfId="0" applyFont="1" applyFill="1" applyAlignment="1">
      <alignment vertical="center"/>
    </xf>
    <xf numFmtId="1" fontId="19" fillId="20" borderId="6" xfId="0" applyNumberFormat="1" applyFont="1" applyFill="1" applyBorder="1" applyAlignment="1">
      <alignment horizontal="center" vertical="center"/>
    </xf>
    <xf numFmtId="0" fontId="28" fillId="21" borderId="0" xfId="0" applyFont="1" applyFill="1"/>
    <xf numFmtId="0" fontId="33" fillId="27" borderId="0" xfId="0" applyFont="1" applyFill="1"/>
    <xf numFmtId="0" fontId="30" fillId="25" borderId="2" xfId="0" applyFont="1" applyFill="1" applyBorder="1" applyAlignment="1">
      <alignment horizontal="center" vertical="center"/>
    </xf>
    <xf numFmtId="0" fontId="30" fillId="25" borderId="3" xfId="0" applyFont="1" applyFill="1" applyBorder="1" applyAlignment="1">
      <alignment horizontal="center" vertical="center"/>
    </xf>
    <xf numFmtId="0" fontId="30" fillId="25" borderId="4" xfId="0" applyFont="1" applyFill="1" applyBorder="1" applyAlignment="1">
      <alignment horizontal="center" vertical="center"/>
    </xf>
    <xf numFmtId="0" fontId="16" fillId="0" borderId="0" xfId="0" applyFont="1" applyAlignment="1">
      <alignment horizontal="center" vertical="center"/>
    </xf>
    <xf numFmtId="0" fontId="30" fillId="25" borderId="44" xfId="0" applyFont="1" applyFill="1" applyBorder="1" applyAlignment="1">
      <alignment horizontal="center" vertical="center"/>
    </xf>
    <xf numFmtId="0" fontId="30" fillId="25" borderId="45" xfId="0" applyFont="1" applyFill="1" applyBorder="1" applyAlignment="1">
      <alignment horizontal="center" vertical="center"/>
    </xf>
    <xf numFmtId="0" fontId="31" fillId="26" borderId="44" xfId="0" applyFont="1" applyFill="1" applyBorder="1" applyAlignment="1">
      <alignment horizontal="left" vertical="center" wrapText="1"/>
    </xf>
    <xf numFmtId="0" fontId="31" fillId="26" borderId="45" xfId="0" applyFont="1" applyFill="1" applyBorder="1" applyAlignment="1">
      <alignment horizontal="left" vertical="center" wrapText="1"/>
    </xf>
    <xf numFmtId="0" fontId="16" fillId="2" borderId="10" xfId="0" applyFont="1" applyFill="1" applyBorder="1" applyAlignment="1">
      <alignment horizontal="center" vertical="center"/>
    </xf>
    <xf numFmtId="0" fontId="16" fillId="2" borderId="11" xfId="0" applyFont="1" applyFill="1" applyBorder="1" applyAlignment="1">
      <alignment horizontal="center" vertical="center"/>
    </xf>
    <xf numFmtId="0" fontId="16" fillId="2" borderId="12" xfId="0" applyFont="1" applyFill="1" applyBorder="1" applyAlignment="1">
      <alignment horizontal="center" vertical="center"/>
    </xf>
    <xf numFmtId="0" fontId="14" fillId="24" borderId="5" xfId="0" applyFont="1" applyFill="1" applyBorder="1" applyAlignment="1">
      <alignment horizontal="center" vertical="center" wrapText="1"/>
    </xf>
    <xf numFmtId="0" fontId="14" fillId="24" borderId="0" xfId="0" applyFont="1" applyFill="1" applyAlignment="1">
      <alignment horizontal="center" vertical="center" wrapText="1"/>
    </xf>
    <xf numFmtId="0" fontId="14" fillId="3" borderId="7" xfId="0" applyFont="1" applyFill="1" applyBorder="1" applyAlignment="1">
      <alignment horizontal="center" vertical="center" wrapText="1"/>
    </xf>
    <xf numFmtId="0" fontId="14" fillId="3" borderId="8" xfId="0" applyFont="1" applyFill="1" applyBorder="1" applyAlignment="1">
      <alignment horizontal="center" vertical="center" wrapText="1"/>
    </xf>
    <xf numFmtId="0" fontId="4" fillId="18" borderId="10" xfId="0" applyFont="1" applyFill="1" applyBorder="1" applyAlignment="1">
      <alignment horizontal="left" vertical="center"/>
    </xf>
    <xf numFmtId="0" fontId="4" fillId="18" borderId="11" xfId="0" applyFont="1" applyFill="1" applyBorder="1" applyAlignment="1">
      <alignment horizontal="left" vertical="center"/>
    </xf>
    <xf numFmtId="0" fontId="4" fillId="18" borderId="12" xfId="0" applyFont="1" applyFill="1" applyBorder="1" applyAlignment="1">
      <alignment horizontal="left" vertical="center"/>
    </xf>
    <xf numFmtId="0" fontId="9" fillId="0" borderId="0" xfId="0" applyFont="1" applyAlignment="1">
      <alignment horizontal="center" vertical="center"/>
    </xf>
    <xf numFmtId="0" fontId="36" fillId="23" borderId="3" xfId="0" applyFont="1" applyFill="1" applyBorder="1" applyAlignment="1">
      <alignment horizontal="left" wrapText="1"/>
    </xf>
    <xf numFmtId="0" fontId="36" fillId="23" borderId="0" xfId="0" applyFont="1" applyFill="1" applyAlignment="1">
      <alignment horizontal="left" wrapText="1"/>
    </xf>
    <xf numFmtId="0" fontId="37" fillId="23" borderId="0" xfId="0" applyFont="1" applyFill="1" applyAlignment="1">
      <alignment horizontal="left" wrapText="1"/>
    </xf>
    <xf numFmtId="0" fontId="37" fillId="23" borderId="8" xfId="0" applyFont="1" applyFill="1" applyBorder="1" applyAlignment="1">
      <alignment horizontal="left" wrapText="1"/>
    </xf>
    <xf numFmtId="0" fontId="18" fillId="0" borderId="0" xfId="0" applyFont="1" applyAlignment="1">
      <alignment horizontal="center" vertical="center" textRotation="90" wrapText="1"/>
    </xf>
    <xf numFmtId="0" fontId="14" fillId="0" borderId="0" xfId="0" applyFont="1" applyAlignment="1">
      <alignment horizontal="center" vertical="center"/>
    </xf>
    <xf numFmtId="0" fontId="21" fillId="18" borderId="5" xfId="0" applyFont="1" applyFill="1" applyBorder="1" applyAlignment="1">
      <alignment horizontal="center" vertical="center"/>
    </xf>
    <xf numFmtId="0" fontId="21" fillId="18" borderId="0" xfId="0" applyFont="1" applyFill="1" applyAlignment="1">
      <alignment horizontal="center" vertical="center"/>
    </xf>
    <xf numFmtId="0" fontId="42" fillId="0" borderId="20" xfId="0" applyFont="1" applyBorder="1" applyAlignment="1">
      <alignment horizontal="left" vertical="center" wrapText="1"/>
    </xf>
    <xf numFmtId="0" fontId="42" fillId="0" borderId="16" xfId="0" applyFont="1" applyBorder="1" applyAlignment="1">
      <alignment horizontal="left" vertical="center" wrapText="1"/>
    </xf>
    <xf numFmtId="0" fontId="6" fillId="22" borderId="7" xfId="0" applyFont="1" applyFill="1" applyBorder="1" applyAlignment="1">
      <alignment horizontal="center" vertical="center" wrapText="1"/>
    </xf>
    <xf numFmtId="0" fontId="6" fillId="22" borderId="8" xfId="0" applyFont="1" applyFill="1" applyBorder="1" applyAlignment="1">
      <alignment horizontal="center" vertical="center" wrapText="1"/>
    </xf>
    <xf numFmtId="0" fontId="35" fillId="23" borderId="5" xfId="0" applyFont="1" applyFill="1" applyBorder="1" applyAlignment="1">
      <alignment horizontal="center" vertical="top" wrapText="1"/>
    </xf>
    <xf numFmtId="0" fontId="35" fillId="23" borderId="0" xfId="0" applyFont="1" applyFill="1" applyAlignment="1">
      <alignment horizontal="center" vertical="top" wrapText="1"/>
    </xf>
    <xf numFmtId="0" fontId="6" fillId="2" borderId="10" xfId="0" applyFont="1" applyFill="1" applyBorder="1" applyAlignment="1">
      <alignment horizontal="center" vertical="center" wrapText="1"/>
    </xf>
    <xf numFmtId="0" fontId="6" fillId="2" borderId="11" xfId="0" applyFont="1" applyFill="1" applyBorder="1" applyAlignment="1">
      <alignment horizontal="center" vertical="center" wrapText="1"/>
    </xf>
    <xf numFmtId="0" fontId="23" fillId="0" borderId="19" xfId="0" applyFont="1" applyBorder="1" applyAlignment="1">
      <alignment horizontal="left" vertical="center" wrapText="1"/>
    </xf>
    <xf numFmtId="0" fontId="23" fillId="0" borderId="17" xfId="0" applyFont="1" applyBorder="1" applyAlignment="1">
      <alignment horizontal="left" vertical="center" wrapText="1"/>
    </xf>
    <xf numFmtId="0" fontId="23" fillId="0" borderId="20" xfId="0" applyFont="1" applyBorder="1" applyAlignment="1">
      <alignment horizontal="left" vertical="center" wrapText="1"/>
    </xf>
    <xf numFmtId="0" fontId="23" fillId="0" borderId="16" xfId="0" applyFont="1" applyBorder="1" applyAlignment="1">
      <alignment horizontal="left" vertical="center" wrapText="1"/>
    </xf>
    <xf numFmtId="2" fontId="3" fillId="0" borderId="2" xfId="0" applyNumberFormat="1" applyFont="1" applyBorder="1" applyAlignment="1">
      <alignment horizontal="center" vertical="center" wrapText="1"/>
    </xf>
    <xf numFmtId="2" fontId="3" fillId="0" borderId="3" xfId="0" applyNumberFormat="1" applyFont="1" applyBorder="1" applyAlignment="1">
      <alignment horizontal="center" vertical="center" wrapText="1"/>
    </xf>
    <xf numFmtId="0" fontId="23" fillId="0" borderId="21" xfId="0" applyFont="1" applyBorder="1" applyAlignment="1">
      <alignment horizontal="left" vertical="center" wrapText="1"/>
    </xf>
    <xf numFmtId="0" fontId="23" fillId="0" borderId="18" xfId="0" applyFont="1" applyBorder="1" applyAlignment="1">
      <alignment horizontal="left" vertical="center" wrapText="1"/>
    </xf>
    <xf numFmtId="0" fontId="4" fillId="18" borderId="2" xfId="0" applyFont="1" applyFill="1" applyBorder="1" applyAlignment="1">
      <alignment horizontal="left" vertical="center" wrapText="1"/>
    </xf>
    <xf numFmtId="0" fontId="4" fillId="18" borderId="3" xfId="0" applyFont="1" applyFill="1" applyBorder="1" applyAlignment="1">
      <alignment horizontal="left" vertical="center" wrapText="1"/>
    </xf>
    <xf numFmtId="0" fontId="4" fillId="18" borderId="10" xfId="0" applyFont="1" applyFill="1" applyBorder="1" applyAlignment="1">
      <alignment horizontal="left" vertical="center" wrapText="1"/>
    </xf>
    <xf numFmtId="0" fontId="5" fillId="18" borderId="11" xfId="0" applyFont="1" applyFill="1" applyBorder="1" applyAlignment="1">
      <alignment horizontal="left" vertical="center" wrapText="1"/>
    </xf>
    <xf numFmtId="0" fontId="38" fillId="23" borderId="11" xfId="0" applyFont="1" applyFill="1" applyBorder="1" applyAlignment="1">
      <alignment horizontal="center" vertical="center" wrapText="1"/>
    </xf>
    <xf numFmtId="0" fontId="1" fillId="11" borderId="10" xfId="0" applyFont="1" applyFill="1" applyBorder="1" applyAlignment="1">
      <alignment horizontal="left" vertical="center" wrapText="1"/>
    </xf>
    <xf numFmtId="0" fontId="1" fillId="11" borderId="11" xfId="0" applyFont="1" applyFill="1" applyBorder="1" applyAlignment="1">
      <alignment horizontal="left" vertical="center" wrapText="1"/>
    </xf>
    <xf numFmtId="0" fontId="35" fillId="23" borderId="5" xfId="0" applyFont="1" applyFill="1" applyBorder="1" applyAlignment="1">
      <alignment horizontal="right" wrapText="1"/>
    </xf>
    <xf numFmtId="0" fontId="35" fillId="23" borderId="0" xfId="0" applyFont="1" applyFill="1" applyAlignment="1">
      <alignment horizontal="right" wrapText="1"/>
    </xf>
    <xf numFmtId="2" fontId="3" fillId="0" borderId="5" xfId="0" applyNumberFormat="1" applyFont="1" applyBorder="1" applyAlignment="1">
      <alignment horizontal="center" vertical="center" wrapText="1"/>
    </xf>
    <xf numFmtId="2" fontId="3" fillId="0" borderId="0" xfId="0" applyNumberFormat="1" applyFont="1" applyAlignment="1">
      <alignment horizontal="center" vertical="center" wrapText="1"/>
    </xf>
    <xf numFmtId="2" fontId="3" fillId="0" borderId="10" xfId="0" applyNumberFormat="1" applyFont="1" applyBorder="1" applyAlignment="1">
      <alignment horizontal="center" vertical="center" wrapText="1"/>
    </xf>
    <xf numFmtId="2" fontId="3" fillId="0" borderId="11" xfId="0" applyNumberFormat="1" applyFont="1" applyBorder="1" applyAlignment="1">
      <alignment horizontal="center" vertical="center" wrapText="1"/>
    </xf>
    <xf numFmtId="0" fontId="35" fillId="23" borderId="0" xfId="0" applyFont="1" applyFill="1" applyAlignment="1">
      <alignment horizontal="center" wrapText="1"/>
    </xf>
    <xf numFmtId="2" fontId="2" fillId="8" borderId="10" xfId="0" applyNumberFormat="1" applyFont="1" applyFill="1" applyBorder="1" applyAlignment="1">
      <alignment horizontal="center" vertical="center" wrapText="1"/>
    </xf>
    <xf numFmtId="2" fontId="2" fillId="8" borderId="11" xfId="0" applyNumberFormat="1" applyFont="1" applyFill="1" applyBorder="1" applyAlignment="1">
      <alignment horizontal="center" vertical="center" wrapText="1"/>
    </xf>
    <xf numFmtId="0" fontId="8" fillId="2" borderId="3" xfId="0" applyFont="1" applyFill="1" applyBorder="1" applyAlignment="1">
      <alignment horizontal="center" vertical="center" wrapText="1"/>
    </xf>
    <xf numFmtId="0" fontId="8" fillId="2" borderId="4" xfId="0" applyFont="1" applyFill="1" applyBorder="1" applyAlignment="1">
      <alignment horizontal="center" vertical="center" wrapText="1"/>
    </xf>
    <xf numFmtId="0" fontId="1" fillId="11" borderId="10" xfId="0" applyFont="1" applyFill="1" applyBorder="1" applyAlignment="1">
      <alignment horizontal="center" vertical="center" wrapText="1"/>
    </xf>
    <xf numFmtId="0" fontId="1" fillId="11" borderId="11" xfId="0" applyFont="1" applyFill="1" applyBorder="1" applyAlignment="1">
      <alignment horizontal="center" vertical="center" wrapText="1"/>
    </xf>
    <xf numFmtId="0" fontId="1" fillId="11" borderId="12" xfId="0" applyFont="1" applyFill="1" applyBorder="1" applyAlignment="1">
      <alignment horizontal="center" vertical="center" wrapText="1"/>
    </xf>
    <xf numFmtId="0" fontId="4" fillId="18" borderId="10" xfId="0" applyFont="1" applyFill="1" applyBorder="1" applyAlignment="1">
      <alignment horizontal="center" vertical="center" wrapText="1"/>
    </xf>
    <xf numFmtId="0" fontId="4" fillId="18" borderId="11" xfId="0" applyFont="1" applyFill="1" applyBorder="1" applyAlignment="1">
      <alignment horizontal="center" vertical="center" wrapText="1"/>
    </xf>
    <xf numFmtId="0" fontId="2" fillId="9" borderId="13" xfId="0" applyFont="1" applyFill="1" applyBorder="1" applyAlignment="1">
      <alignment horizontal="center" vertical="center" wrapText="1"/>
    </xf>
    <xf numFmtId="0" fontId="2" fillId="9" borderId="15" xfId="0" applyFont="1" applyFill="1" applyBorder="1" applyAlignment="1">
      <alignment horizontal="center" vertical="center" wrapText="1"/>
    </xf>
    <xf numFmtId="0" fontId="2" fillId="0" borderId="13" xfId="0" applyFont="1" applyBorder="1" applyAlignment="1">
      <alignment horizontal="center" vertical="center" wrapText="1"/>
    </xf>
    <xf numFmtId="0" fontId="2" fillId="0" borderId="15" xfId="0" applyFont="1" applyBorder="1" applyAlignment="1">
      <alignment horizontal="center" vertical="center" wrapText="1"/>
    </xf>
    <xf numFmtId="164" fontId="2" fillId="8" borderId="7" xfId="0" applyNumberFormat="1" applyFont="1" applyFill="1" applyBorder="1" applyAlignment="1">
      <alignment horizontal="center" vertical="center" wrapText="1"/>
    </xf>
    <xf numFmtId="164" fontId="2" fillId="8" borderId="8" xfId="0" applyNumberFormat="1" applyFont="1" applyFill="1" applyBorder="1" applyAlignment="1">
      <alignment horizontal="center" vertical="center" wrapText="1"/>
    </xf>
    <xf numFmtId="164" fontId="2" fillId="8" borderId="9" xfId="0" applyNumberFormat="1" applyFont="1" applyFill="1" applyBorder="1" applyAlignment="1">
      <alignment horizontal="center" vertic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1" fontId="3" fillId="0" borderId="2" xfId="0" applyNumberFormat="1" applyFont="1" applyBorder="1" applyAlignment="1">
      <alignment horizontal="center" vertical="center" wrapText="1"/>
    </xf>
    <xf numFmtId="1" fontId="3" fillId="0" borderId="3" xfId="0" applyNumberFormat="1" applyFont="1" applyBorder="1" applyAlignment="1">
      <alignment horizontal="center" vertical="center" wrapText="1"/>
    </xf>
    <xf numFmtId="1" fontId="3" fillId="0" borderId="4" xfId="0" applyNumberFormat="1" applyFont="1" applyBorder="1" applyAlignment="1">
      <alignment horizontal="center" vertical="center" wrapText="1"/>
    </xf>
    <xf numFmtId="0" fontId="8" fillId="2" borderId="10" xfId="0" applyFont="1" applyFill="1" applyBorder="1" applyAlignment="1">
      <alignment horizontal="center" vertical="center" wrapText="1"/>
    </xf>
    <xf numFmtId="0" fontId="8" fillId="2" borderId="12" xfId="0" applyFont="1" applyFill="1" applyBorder="1" applyAlignment="1">
      <alignment horizontal="center" vertical="center" wrapText="1"/>
    </xf>
    <xf numFmtId="0" fontId="8" fillId="2" borderId="2" xfId="0" applyFont="1" applyFill="1" applyBorder="1" applyAlignment="1">
      <alignment horizontal="center" vertical="center" wrapText="1"/>
    </xf>
    <xf numFmtId="0" fontId="3" fillId="0" borderId="2" xfId="0" applyFont="1" applyBorder="1" applyAlignment="1">
      <alignment horizontal="center" vertical="center" wrapText="1"/>
    </xf>
    <xf numFmtId="9" fontId="3" fillId="0" borderId="2" xfId="0" applyNumberFormat="1" applyFont="1" applyBorder="1" applyAlignment="1">
      <alignment horizontal="center" vertical="center" wrapText="1"/>
    </xf>
    <xf numFmtId="0" fontId="6" fillId="11" borderId="7" xfId="0" applyFont="1" applyFill="1" applyBorder="1" applyAlignment="1">
      <alignment horizontal="center" vertical="center" wrapText="1"/>
    </xf>
    <xf numFmtId="0" fontId="6" fillId="11" borderId="8" xfId="0" applyFont="1" applyFill="1" applyBorder="1" applyAlignment="1">
      <alignment horizontal="center" vertical="center" wrapText="1"/>
    </xf>
    <xf numFmtId="0" fontId="1" fillId="11" borderId="12" xfId="0" applyFont="1" applyFill="1" applyBorder="1" applyAlignment="1">
      <alignment horizontal="left" vertical="center" wrapText="1"/>
    </xf>
    <xf numFmtId="0" fontId="3" fillId="0" borderId="21" xfId="0" applyFont="1" applyBorder="1" applyAlignment="1">
      <alignment horizontal="left" vertical="center" wrapText="1"/>
    </xf>
    <xf numFmtId="0" fontId="3" fillId="0" borderId="18" xfId="0" applyFont="1" applyBorder="1" applyAlignment="1">
      <alignment horizontal="left" vertical="center" wrapText="1"/>
    </xf>
    <xf numFmtId="0" fontId="3" fillId="0" borderId="38" xfId="0" applyFont="1" applyBorder="1" applyAlignment="1">
      <alignment horizontal="left" vertical="center" wrapText="1"/>
    </xf>
    <xf numFmtId="0" fontId="4" fillId="18" borderId="4" xfId="0" applyFont="1" applyFill="1" applyBorder="1" applyAlignment="1">
      <alignment horizontal="left" vertical="center" wrapText="1"/>
    </xf>
    <xf numFmtId="0" fontId="25" fillId="0" borderId="21" xfId="0" applyFont="1" applyBorder="1" applyAlignment="1">
      <alignment horizontal="left" vertical="center" wrapText="1"/>
    </xf>
    <xf numFmtId="0" fontId="25" fillId="0" borderId="18" xfId="0" applyFont="1" applyBorder="1" applyAlignment="1">
      <alignment horizontal="left" vertical="center" wrapText="1"/>
    </xf>
    <xf numFmtId="0" fontId="25" fillId="0" borderId="38" xfId="0" applyFont="1" applyBorder="1" applyAlignment="1">
      <alignment horizontal="left" vertical="center" wrapText="1"/>
    </xf>
    <xf numFmtId="0" fontId="3" fillId="0" borderId="20" xfId="0" applyFont="1" applyBorder="1" applyAlignment="1">
      <alignment horizontal="left" vertical="center" wrapText="1"/>
    </xf>
    <xf numFmtId="0" fontId="3" fillId="0" borderId="16" xfId="0" applyFont="1" applyBorder="1" applyAlignment="1">
      <alignment horizontal="left" vertical="center" wrapText="1"/>
    </xf>
    <xf numFmtId="0" fontId="3" fillId="0" borderId="36" xfId="0" applyFont="1" applyBorder="1" applyAlignment="1">
      <alignment horizontal="left" vertical="center" wrapText="1"/>
    </xf>
    <xf numFmtId="0" fontId="24" fillId="0" borderId="19" xfId="0" applyFont="1" applyBorder="1" applyAlignment="1">
      <alignment horizontal="left" vertical="center" wrapText="1"/>
    </xf>
    <xf numFmtId="0" fontId="24" fillId="0" borderId="17" xfId="0" applyFont="1" applyBorder="1" applyAlignment="1">
      <alignment horizontal="left" vertical="center" wrapText="1"/>
    </xf>
    <xf numFmtId="0" fontId="24" fillId="0" borderId="35" xfId="0" applyFont="1" applyBorder="1" applyAlignment="1">
      <alignment horizontal="left" vertical="center" wrapText="1"/>
    </xf>
    <xf numFmtId="0" fontId="25" fillId="0" borderId="20" xfId="0" applyFont="1" applyBorder="1" applyAlignment="1">
      <alignment horizontal="left" vertical="center" wrapText="1"/>
    </xf>
    <xf numFmtId="0" fontId="25" fillId="0" borderId="16" xfId="0" applyFont="1" applyBorder="1" applyAlignment="1">
      <alignment horizontal="left" vertical="center" wrapText="1"/>
    </xf>
    <xf numFmtId="0" fontId="25" fillId="0" borderId="36" xfId="0" applyFont="1" applyBorder="1" applyAlignment="1">
      <alignment horizontal="left" vertical="center" wrapText="1"/>
    </xf>
    <xf numFmtId="0" fontId="5" fillId="18" borderId="12" xfId="0" applyFont="1" applyFill="1" applyBorder="1" applyAlignment="1">
      <alignment horizontal="left" vertical="center" wrapText="1"/>
    </xf>
    <xf numFmtId="1" fontId="2" fillId="8" borderId="10" xfId="0" applyNumberFormat="1" applyFont="1" applyFill="1" applyBorder="1" applyAlignment="1">
      <alignment horizontal="center" vertical="center" wrapText="1"/>
    </xf>
    <xf numFmtId="1" fontId="2" fillId="8" borderId="11" xfId="0" applyNumberFormat="1" applyFont="1" applyFill="1" applyBorder="1" applyAlignment="1">
      <alignment horizontal="center" vertical="center" wrapText="1"/>
    </xf>
    <xf numFmtId="1" fontId="3" fillId="0" borderId="10" xfId="0" applyNumberFormat="1" applyFont="1" applyBorder="1" applyAlignment="1">
      <alignment horizontal="center" vertical="center" wrapText="1"/>
    </xf>
    <xf numFmtId="1" fontId="3" fillId="0" borderId="11" xfId="0" applyNumberFormat="1" applyFont="1" applyBorder="1" applyAlignment="1">
      <alignment horizontal="center" vertical="center" wrapText="1"/>
    </xf>
    <xf numFmtId="1" fontId="3" fillId="0" borderId="7" xfId="0" applyNumberFormat="1" applyFont="1" applyBorder="1" applyAlignment="1">
      <alignment horizontal="center" vertical="center" wrapText="1"/>
    </xf>
    <xf numFmtId="1" fontId="3" fillId="0" borderId="8" xfId="0" applyNumberFormat="1" applyFont="1" applyBorder="1" applyAlignment="1">
      <alignment horizontal="center" vertical="center" wrapText="1"/>
    </xf>
    <xf numFmtId="0" fontId="24" fillId="0" borderId="39" xfId="0" applyFont="1" applyBorder="1" applyAlignment="1">
      <alignment horizontal="left" vertical="center" wrapText="1"/>
    </xf>
    <xf numFmtId="0" fontId="24" fillId="0" borderId="40" xfId="0" applyFont="1" applyBorder="1" applyAlignment="1">
      <alignment horizontal="left" vertical="center" wrapText="1"/>
    </xf>
    <xf numFmtId="0" fontId="24" fillId="0" borderId="41" xfId="0" applyFont="1" applyBorder="1" applyAlignment="1">
      <alignment horizontal="left" vertical="center" wrapText="1"/>
    </xf>
    <xf numFmtId="0" fontId="4" fillId="18" borderId="11" xfId="0" applyFont="1" applyFill="1" applyBorder="1" applyAlignment="1">
      <alignment horizontal="left" vertical="center" wrapText="1"/>
    </xf>
    <xf numFmtId="0" fontId="4" fillId="18" borderId="12" xfId="0" applyFont="1" applyFill="1" applyBorder="1" applyAlignment="1">
      <alignment horizontal="left" vertical="center" wrapText="1"/>
    </xf>
    <xf numFmtId="0" fontId="3" fillId="0" borderId="26" xfId="0" applyFont="1" applyBorder="1" applyAlignment="1">
      <alignment horizontal="left" vertical="center" wrapText="1"/>
    </xf>
    <xf numFmtId="0" fontId="3" fillId="0" borderId="27" xfId="0" applyFont="1" applyBorder="1" applyAlignment="1">
      <alignment horizontal="left" vertical="center" wrapText="1"/>
    </xf>
    <xf numFmtId="0" fontId="3" fillId="0" borderId="37" xfId="0" applyFont="1" applyBorder="1" applyAlignment="1">
      <alignment horizontal="left" vertical="center" wrapText="1"/>
    </xf>
    <xf numFmtId="0" fontId="3" fillId="0" borderId="28" xfId="0" applyFont="1" applyBorder="1" applyAlignment="1">
      <alignment horizontal="left" vertical="center" wrapText="1"/>
    </xf>
    <xf numFmtId="0" fontId="3" fillId="0" borderId="29" xfId="0" applyFont="1" applyBorder="1" applyAlignment="1">
      <alignment horizontal="left" vertical="center" wrapText="1"/>
    </xf>
    <xf numFmtId="0" fontId="3" fillId="0" borderId="42" xfId="0" applyFont="1" applyBorder="1" applyAlignment="1">
      <alignment horizontal="left" vertical="center" wrapText="1"/>
    </xf>
    <xf numFmtId="0" fontId="24" fillId="0" borderId="33" xfId="0" applyFont="1" applyBorder="1" applyAlignment="1">
      <alignment horizontal="left" vertical="center" wrapText="1"/>
    </xf>
    <xf numFmtId="0" fontId="24" fillId="0" borderId="34" xfId="0" applyFont="1" applyBorder="1" applyAlignment="1">
      <alignment horizontal="left" vertical="center" wrapText="1"/>
    </xf>
    <xf numFmtId="0" fontId="24" fillId="0" borderId="43" xfId="0" applyFont="1" applyBorder="1" applyAlignment="1">
      <alignment horizontal="left" vertical="center" wrapText="1"/>
    </xf>
    <xf numFmtId="0" fontId="6" fillId="11" borderId="10" xfId="0" applyFont="1" applyFill="1" applyBorder="1" applyAlignment="1">
      <alignment horizontal="center" vertical="center" wrapText="1"/>
    </xf>
    <xf numFmtId="0" fontId="6" fillId="11" borderId="11" xfId="0" applyFont="1" applyFill="1" applyBorder="1" applyAlignment="1">
      <alignment horizontal="center" vertical="center" wrapText="1"/>
    </xf>
    <xf numFmtId="0" fontId="6" fillId="11" borderId="12" xfId="0" applyFont="1" applyFill="1" applyBorder="1" applyAlignment="1">
      <alignment horizontal="center" vertical="center" wrapText="1"/>
    </xf>
    <xf numFmtId="0" fontId="3" fillId="0" borderId="19" xfId="0" applyFont="1" applyBorder="1" applyAlignment="1">
      <alignment horizontal="left" vertical="center" wrapText="1"/>
    </xf>
    <xf numFmtId="0" fontId="3" fillId="0" borderId="17" xfId="0" applyFont="1" applyBorder="1" applyAlignment="1">
      <alignment horizontal="left" vertical="center" wrapText="1"/>
    </xf>
    <xf numFmtId="0" fontId="3" fillId="0" borderId="35" xfId="0" applyFont="1" applyBorder="1" applyAlignment="1">
      <alignment horizontal="left" vertical="center" wrapText="1"/>
    </xf>
    <xf numFmtId="0" fontId="3" fillId="4" borderId="21" xfId="0" applyFont="1" applyFill="1" applyBorder="1" applyAlignment="1">
      <alignment horizontal="left" vertical="center" wrapText="1"/>
    </xf>
    <xf numFmtId="0" fontId="3" fillId="4" borderId="18" xfId="0" applyFont="1" applyFill="1" applyBorder="1" applyAlignment="1">
      <alignment horizontal="left" vertical="center" wrapText="1"/>
    </xf>
    <xf numFmtId="0" fontId="3" fillId="4" borderId="38" xfId="0" applyFont="1" applyFill="1" applyBorder="1" applyAlignment="1">
      <alignment horizontal="left" vertical="center" wrapText="1"/>
    </xf>
    <xf numFmtId="0" fontId="3" fillId="0" borderId="5" xfId="0" applyFont="1" applyBorder="1" applyAlignment="1">
      <alignment horizontal="center" vertical="center" wrapText="1"/>
    </xf>
    <xf numFmtId="0" fontId="3" fillId="0" borderId="0" xfId="0" applyFont="1" applyAlignment="1">
      <alignment horizontal="center" vertical="center" wrapText="1"/>
    </xf>
    <xf numFmtId="0" fontId="3" fillId="0" borderId="7" xfId="0" applyFont="1" applyBorder="1" applyAlignment="1">
      <alignment horizontal="center" vertical="center" wrapText="1"/>
    </xf>
    <xf numFmtId="0" fontId="3" fillId="0" borderId="8" xfId="0" applyFont="1" applyBorder="1" applyAlignment="1">
      <alignment horizontal="center" vertical="center" wrapText="1"/>
    </xf>
    <xf numFmtId="0" fontId="1" fillId="5" borderId="10" xfId="0" applyFont="1" applyFill="1" applyBorder="1" applyAlignment="1">
      <alignment horizontal="left" vertical="center" wrapText="1"/>
    </xf>
    <xf numFmtId="0" fontId="1" fillId="5" borderId="11" xfId="0" applyFont="1" applyFill="1" applyBorder="1" applyAlignment="1">
      <alignment horizontal="left" vertical="center" wrapText="1"/>
    </xf>
    <xf numFmtId="0" fontId="8" fillId="2" borderId="11" xfId="0" applyFont="1" applyFill="1" applyBorder="1" applyAlignment="1">
      <alignment horizontal="center" vertical="center" wrapText="1"/>
    </xf>
    <xf numFmtId="1" fontId="2" fillId="8" borderId="8" xfId="0" applyNumberFormat="1" applyFont="1" applyFill="1" applyBorder="1" applyAlignment="1">
      <alignment horizontal="center" vertical="center" wrapText="1"/>
    </xf>
    <xf numFmtId="1" fontId="3" fillId="0" borderId="0" xfId="0" applyNumberFormat="1" applyFont="1" applyAlignment="1">
      <alignment horizontal="center" vertical="center" wrapText="1"/>
    </xf>
    <xf numFmtId="0" fontId="6" fillId="3" borderId="7" xfId="0" applyFont="1" applyFill="1" applyBorder="1" applyAlignment="1">
      <alignment horizontal="center" vertical="center" wrapText="1"/>
    </xf>
    <xf numFmtId="0" fontId="6" fillId="3" borderId="8" xfId="0" applyFont="1" applyFill="1" applyBorder="1" applyAlignment="1">
      <alignment horizontal="center" vertical="center" wrapText="1"/>
    </xf>
    <xf numFmtId="0" fontId="3" fillId="0" borderId="9" xfId="0" applyFont="1" applyBorder="1" applyAlignment="1">
      <alignment horizontal="center" vertical="center" wrapText="1"/>
    </xf>
    <xf numFmtId="0" fontId="1" fillId="11" borderId="7" xfId="0" applyFont="1" applyFill="1" applyBorder="1" applyAlignment="1">
      <alignment horizontal="center" vertical="center" wrapText="1"/>
    </xf>
    <xf numFmtId="0" fontId="1" fillId="11" borderId="8" xfId="0" applyFont="1" applyFill="1" applyBorder="1" applyAlignment="1">
      <alignment horizontal="center" vertical="center" wrapText="1"/>
    </xf>
    <xf numFmtId="0" fontId="4" fillId="18" borderId="5" xfId="0" applyFont="1" applyFill="1" applyBorder="1" applyAlignment="1">
      <alignment horizontal="center" vertical="center" wrapText="1"/>
    </xf>
    <xf numFmtId="0" fontId="4" fillId="18" borderId="0" xfId="0" applyFont="1" applyFill="1" applyAlignment="1">
      <alignment horizontal="center" vertical="center" wrapText="1"/>
    </xf>
    <xf numFmtId="1" fontId="3" fillId="0" borderId="12" xfId="0" applyNumberFormat="1" applyFont="1" applyBorder="1" applyAlignment="1">
      <alignment horizontal="center" vertical="center" wrapText="1"/>
    </xf>
    <xf numFmtId="166" fontId="2" fillId="8" borderId="10" xfId="0" applyNumberFormat="1" applyFont="1" applyFill="1" applyBorder="1" applyAlignment="1">
      <alignment horizontal="center" vertical="center" wrapText="1"/>
    </xf>
    <xf numFmtId="166" fontId="2" fillId="8" borderId="11" xfId="0" applyNumberFormat="1" applyFont="1" applyFill="1" applyBorder="1" applyAlignment="1">
      <alignment horizontal="center" vertical="center" wrapText="1"/>
    </xf>
    <xf numFmtId="166" fontId="3" fillId="0" borderId="10" xfId="0" applyNumberFormat="1" applyFont="1" applyBorder="1" applyAlignment="1">
      <alignment horizontal="center" vertical="center" wrapText="1"/>
    </xf>
    <xf numFmtId="166" fontId="3" fillId="0" borderId="11" xfId="0" applyNumberFormat="1" applyFont="1" applyBorder="1" applyAlignment="1">
      <alignment horizontal="center" vertical="center" wrapText="1"/>
    </xf>
    <xf numFmtId="166" fontId="3" fillId="0" borderId="12" xfId="0" applyNumberFormat="1" applyFont="1" applyBorder="1" applyAlignment="1">
      <alignment horizontal="center" vertical="center" wrapText="1"/>
    </xf>
    <xf numFmtId="0" fontId="6" fillId="3" borderId="10" xfId="0" applyFont="1" applyFill="1" applyBorder="1" applyAlignment="1">
      <alignment horizontal="center" vertical="center" wrapText="1"/>
    </xf>
    <xf numFmtId="0" fontId="6" fillId="3" borderId="11"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2" fillId="8" borderId="11" xfId="0" applyFont="1" applyFill="1" applyBorder="1" applyAlignment="1">
      <alignment horizontal="center" vertical="center" wrapText="1"/>
    </xf>
    <xf numFmtId="0" fontId="6" fillId="2" borderId="12" xfId="0" applyFont="1" applyFill="1" applyBorder="1" applyAlignment="1">
      <alignment horizontal="center" vertical="center" wrapText="1"/>
    </xf>
    <xf numFmtId="0" fontId="24" fillId="0" borderId="21" xfId="0" applyFont="1" applyBorder="1" applyAlignment="1">
      <alignment horizontal="left" vertical="center" wrapText="1"/>
    </xf>
    <xf numFmtId="0" fontId="24" fillId="0" borderId="18" xfId="0" applyFont="1" applyBorder="1" applyAlignment="1">
      <alignment horizontal="left" vertical="center" wrapText="1"/>
    </xf>
    <xf numFmtId="0" fontId="24" fillId="0" borderId="38" xfId="0" applyFont="1" applyBorder="1" applyAlignment="1">
      <alignment horizontal="left" vertical="center" wrapText="1"/>
    </xf>
    <xf numFmtId="0" fontId="3" fillId="4" borderId="48" xfId="0" applyFont="1" applyFill="1" applyBorder="1" applyAlignment="1">
      <alignment horizontal="left" vertical="center" wrapText="1"/>
    </xf>
    <xf numFmtId="0" fontId="3" fillId="0" borderId="46" xfId="0" applyFont="1" applyBorder="1" applyAlignment="1">
      <alignment horizontal="left" vertical="center" wrapText="1"/>
    </xf>
    <xf numFmtId="0" fontId="3" fillId="0" borderId="47" xfId="0" applyFont="1" applyBorder="1" applyAlignment="1">
      <alignment horizontal="left" vertical="center" wrapText="1"/>
    </xf>
    <xf numFmtId="0" fontId="6" fillId="12" borderId="10" xfId="0" applyFont="1" applyFill="1" applyBorder="1" applyAlignment="1">
      <alignment horizontal="center" vertical="center" wrapText="1"/>
    </xf>
    <xf numFmtId="0" fontId="6" fillId="12" borderId="11" xfId="0" applyFont="1" applyFill="1" applyBorder="1" applyAlignment="1">
      <alignment horizontal="center" vertical="center" wrapText="1"/>
    </xf>
    <xf numFmtId="0" fontId="6" fillId="12" borderId="12" xfId="0" applyFont="1" applyFill="1" applyBorder="1" applyAlignment="1">
      <alignment horizontal="center" vertical="center" wrapText="1"/>
    </xf>
    <xf numFmtId="0" fontId="6" fillId="12" borderId="7" xfId="0" applyFont="1" applyFill="1" applyBorder="1" applyAlignment="1">
      <alignment horizontal="center" vertical="center" wrapText="1"/>
    </xf>
    <xf numFmtId="0" fontId="6" fillId="12" borderId="8" xfId="0" applyFont="1" applyFill="1" applyBorder="1" applyAlignment="1">
      <alignment horizontal="center" vertical="center" wrapText="1"/>
    </xf>
    <xf numFmtId="0" fontId="3" fillId="0" borderId="10" xfId="0" applyFont="1" applyBorder="1" applyAlignment="1">
      <alignment horizontal="left" vertical="center" wrapText="1"/>
    </xf>
    <xf numFmtId="0" fontId="3" fillId="0" borderId="11" xfId="0" applyFont="1" applyBorder="1" applyAlignment="1">
      <alignment horizontal="left" vertical="center" wrapText="1"/>
    </xf>
    <xf numFmtId="0" fontId="3" fillId="0" borderId="12" xfId="0" applyFont="1" applyBorder="1" applyAlignment="1">
      <alignment horizontal="left" vertical="center" wrapText="1"/>
    </xf>
    <xf numFmtId="0" fontId="3" fillId="22" borderId="21" xfId="0" applyFont="1" applyFill="1" applyBorder="1" applyAlignment="1">
      <alignment horizontal="left" vertical="center" wrapText="1"/>
    </xf>
    <xf numFmtId="0" fontId="3" fillId="22" borderId="18" xfId="0" applyFont="1" applyFill="1" applyBorder="1" applyAlignment="1">
      <alignment horizontal="left" vertical="center" wrapText="1"/>
    </xf>
    <xf numFmtId="0" fontId="3" fillId="22" borderId="38" xfId="0" applyFont="1" applyFill="1" applyBorder="1" applyAlignment="1">
      <alignment horizontal="left" vertical="center" wrapText="1"/>
    </xf>
    <xf numFmtId="0" fontId="6" fillId="13" borderId="7" xfId="0" applyFont="1" applyFill="1" applyBorder="1" applyAlignment="1">
      <alignment horizontal="center" vertical="center" wrapText="1"/>
    </xf>
    <xf numFmtId="0" fontId="6" fillId="13" borderId="8" xfId="0" applyFont="1" applyFill="1" applyBorder="1" applyAlignment="1">
      <alignment horizontal="center" vertical="center" wrapText="1"/>
    </xf>
    <xf numFmtId="1" fontId="2" fillId="8" borderId="11" xfId="1" applyNumberFormat="1" applyFont="1" applyFill="1" applyBorder="1" applyAlignment="1">
      <alignment horizontal="center" vertical="center" wrapText="1"/>
    </xf>
    <xf numFmtId="9" fontId="2" fillId="8" borderId="11" xfId="1" applyFont="1" applyFill="1" applyBorder="1" applyAlignment="1">
      <alignment horizontal="center" vertical="center" wrapText="1"/>
    </xf>
    <xf numFmtId="0" fontId="3" fillId="0" borderId="39" xfId="0" applyFont="1" applyBorder="1" applyAlignment="1">
      <alignment horizontal="left" vertical="center" wrapText="1"/>
    </xf>
    <xf numFmtId="0" fontId="3" fillId="0" borderId="40" xfId="0" applyFont="1" applyBorder="1" applyAlignment="1">
      <alignment horizontal="left" vertical="center" wrapText="1"/>
    </xf>
    <xf numFmtId="0" fontId="3" fillId="0" borderId="41" xfId="0" applyFont="1" applyBorder="1" applyAlignment="1">
      <alignment horizontal="left" vertical="center" wrapText="1"/>
    </xf>
    <xf numFmtId="0" fontId="6" fillId="13" borderId="10" xfId="0" applyFont="1" applyFill="1" applyBorder="1" applyAlignment="1">
      <alignment horizontal="center" vertical="center" wrapText="1"/>
    </xf>
    <xf numFmtId="0" fontId="6" fillId="13" borderId="11" xfId="0" applyFont="1" applyFill="1" applyBorder="1" applyAlignment="1">
      <alignment horizontal="center" vertical="center" wrapText="1"/>
    </xf>
    <xf numFmtId="0" fontId="6" fillId="13" borderId="12" xfId="0" applyFont="1" applyFill="1" applyBorder="1" applyAlignment="1">
      <alignment horizontal="center" vertical="center" wrapText="1"/>
    </xf>
    <xf numFmtId="0" fontId="24" fillId="21" borderId="21" xfId="0" applyFont="1" applyFill="1" applyBorder="1" applyAlignment="1">
      <alignment horizontal="left" vertical="center" wrapText="1"/>
    </xf>
    <xf numFmtId="0" fontId="24" fillId="21" borderId="18" xfId="0" applyFont="1" applyFill="1" applyBorder="1" applyAlignment="1">
      <alignment horizontal="left" vertical="center" wrapText="1"/>
    </xf>
    <xf numFmtId="0" fontId="24" fillId="21" borderId="38" xfId="0" applyFont="1" applyFill="1" applyBorder="1" applyAlignment="1">
      <alignment horizontal="left" vertical="center" wrapText="1"/>
    </xf>
    <xf numFmtId="0" fontId="3" fillId="21" borderId="21" xfId="0" applyFont="1" applyFill="1" applyBorder="1" applyAlignment="1">
      <alignment horizontal="left" vertical="center" wrapText="1"/>
    </xf>
    <xf numFmtId="0" fontId="3" fillId="21" borderId="18" xfId="0" applyFont="1" applyFill="1" applyBorder="1" applyAlignment="1">
      <alignment horizontal="left" vertical="center" wrapText="1"/>
    </xf>
    <xf numFmtId="0" fontId="3" fillId="21" borderId="38" xfId="0" applyFont="1" applyFill="1" applyBorder="1" applyAlignment="1">
      <alignment horizontal="left" vertical="center" wrapText="1"/>
    </xf>
    <xf numFmtId="0" fontId="24" fillId="22" borderId="39" xfId="0" applyFont="1" applyFill="1" applyBorder="1" applyAlignment="1">
      <alignment horizontal="left" vertical="center" wrapText="1"/>
    </xf>
    <xf numFmtId="0" fontId="24" fillId="22" borderId="40" xfId="0" applyFont="1" applyFill="1" applyBorder="1" applyAlignment="1">
      <alignment horizontal="left" vertical="center" wrapText="1"/>
    </xf>
    <xf numFmtId="0" fontId="24" fillId="22" borderId="41" xfId="0" applyFont="1" applyFill="1" applyBorder="1" applyAlignment="1">
      <alignment horizontal="left" vertical="center" wrapText="1"/>
    </xf>
    <xf numFmtId="0" fontId="3" fillId="22" borderId="19" xfId="0" applyFont="1" applyFill="1" applyBorder="1" applyAlignment="1">
      <alignment horizontal="left" vertical="center" wrapText="1"/>
    </xf>
    <xf numFmtId="0" fontId="3" fillId="22" borderId="17" xfId="0" applyFont="1" applyFill="1" applyBorder="1" applyAlignment="1">
      <alignment horizontal="left" vertical="center" wrapText="1"/>
    </xf>
    <xf numFmtId="0" fontId="3" fillId="22" borderId="35" xfId="0" applyFont="1" applyFill="1" applyBorder="1" applyAlignment="1">
      <alignment horizontal="left" vertical="center" wrapText="1"/>
    </xf>
    <xf numFmtId="0" fontId="24" fillId="22" borderId="19" xfId="0" applyFont="1" applyFill="1" applyBorder="1" applyAlignment="1">
      <alignment horizontal="left" vertical="center" wrapText="1"/>
    </xf>
    <xf numFmtId="0" fontId="24" fillId="22" borderId="17" xfId="0" applyFont="1" applyFill="1" applyBorder="1" applyAlignment="1">
      <alignment horizontal="left" vertical="center" wrapText="1"/>
    </xf>
    <xf numFmtId="0" fontId="24" fillId="22" borderId="35" xfId="0" applyFont="1" applyFill="1" applyBorder="1" applyAlignment="1">
      <alignment horizontal="left" vertical="center" wrapText="1"/>
    </xf>
    <xf numFmtId="0" fontId="6" fillId="17" borderId="7" xfId="0" applyFont="1" applyFill="1" applyBorder="1" applyAlignment="1">
      <alignment horizontal="center" vertical="center" wrapText="1"/>
    </xf>
    <xf numFmtId="0" fontId="6" fillId="17" borderId="8" xfId="0" applyFont="1" applyFill="1" applyBorder="1" applyAlignment="1">
      <alignment horizontal="center" vertical="center" wrapText="1"/>
    </xf>
    <xf numFmtId="0" fontId="1" fillId="15" borderId="10" xfId="0" applyFont="1" applyFill="1" applyBorder="1" applyAlignment="1">
      <alignment horizontal="left" vertical="center" wrapText="1"/>
    </xf>
    <xf numFmtId="0" fontId="1" fillId="15" borderId="11" xfId="0" applyFont="1" applyFill="1" applyBorder="1" applyAlignment="1">
      <alignment horizontal="left" vertical="center" wrapText="1"/>
    </xf>
    <xf numFmtId="0" fontId="1" fillId="15" borderId="12" xfId="0" applyFont="1" applyFill="1" applyBorder="1" applyAlignment="1">
      <alignment horizontal="left" vertical="center" wrapText="1"/>
    </xf>
    <xf numFmtId="0" fontId="3" fillId="0" borderId="28" xfId="0" applyFont="1" applyBorder="1" applyAlignment="1">
      <alignment horizontal="center" vertical="center" wrapText="1"/>
    </xf>
    <xf numFmtId="0" fontId="3" fillId="0" borderId="29" xfId="0" applyFont="1" applyBorder="1" applyAlignment="1">
      <alignment horizontal="center" vertical="center" wrapText="1"/>
    </xf>
    <xf numFmtId="0" fontId="3" fillId="0" borderId="42" xfId="0" applyFont="1" applyBorder="1" applyAlignment="1">
      <alignment horizontal="center" vertical="center" wrapText="1"/>
    </xf>
  </cellXfs>
  <cellStyles count="3">
    <cellStyle name="Link" xfId="2" builtinId="8"/>
    <cellStyle name="Prozent" xfId="1" builtinId="5"/>
    <cellStyle name="Standard" xfId="0" builtinId="0"/>
  </cellStyles>
  <dxfs count="60">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7" tint="0.59996337778862885"/>
        </patternFill>
      </fill>
    </dxf>
    <dxf>
      <fill>
        <patternFill>
          <bgColor theme="7" tint="0.59996337778862885"/>
        </patternFill>
      </fill>
    </dxf>
    <dxf>
      <fill>
        <patternFill>
          <bgColor theme="7" tint="0.59996337778862885"/>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colors>
    <mruColors>
      <color rgb="FF00FFFF"/>
      <color rgb="FFFFC000"/>
      <color rgb="FFC00000"/>
      <color rgb="FF000000"/>
      <color rgb="FF70AD47"/>
      <color rgb="FFF8696B"/>
      <color rgb="FFFF8B8B"/>
      <color rgb="FF63BE7B"/>
      <color rgb="FF996633"/>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3.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4.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5.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6.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7.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8.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9.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0.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11.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2.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3.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4.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Ex15.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Ex16.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Ex17.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Ex18.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Ex19.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Ex20.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de-DE">
                <a:solidFill>
                  <a:sysClr val="windowText" lastClr="000000"/>
                </a:solidFill>
              </a:rPr>
              <a:t>MCDA ranking</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de-DE"/>
        </a:p>
      </c:txPr>
    </c:title>
    <c:autoTitleDeleted val="0"/>
    <c:plotArea>
      <c:layout/>
      <c:barChart>
        <c:barDir val="col"/>
        <c:grouping val="clustered"/>
        <c:varyColors val="0"/>
        <c:ser>
          <c:idx val="0"/>
          <c:order val="0"/>
          <c:spPr>
            <a:solidFill>
              <a:schemeClr val="accent1"/>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9B36-454B-958E-8E27A6DCC22D}"/>
              </c:ext>
            </c:extLst>
          </c:dPt>
          <c:dPt>
            <c:idx val="1"/>
            <c:invertIfNegative val="0"/>
            <c:bubble3D val="0"/>
            <c:spPr>
              <a:solidFill>
                <a:schemeClr val="accent6"/>
              </a:solidFill>
              <a:ln>
                <a:noFill/>
              </a:ln>
              <a:effectLst/>
            </c:spPr>
            <c:extLst>
              <c:ext xmlns:c16="http://schemas.microsoft.com/office/drawing/2014/chart" uri="{C3380CC4-5D6E-409C-BE32-E72D297353CC}">
                <c16:uniqueId val="{00000003-9B36-454B-958E-8E27A6DCC2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Ranking_calc!$E$47:$F$47</c:f>
              <c:strCache>
                <c:ptCount val="2"/>
                <c:pt idx="0">
                  <c:v>Electric Boda</c:v>
                </c:pt>
                <c:pt idx="1">
                  <c:v>ICE 150 CC</c:v>
                </c:pt>
              </c:strCache>
            </c:strRef>
          </c:cat>
          <c:val>
            <c:numRef>
              <c:f>Ranking_calc!$E$48:$F$48</c:f>
              <c:numCache>
                <c:formatCode>0.000</c:formatCode>
                <c:ptCount val="2"/>
                <c:pt idx="0">
                  <c:v>0.77777777777777779</c:v>
                </c:pt>
                <c:pt idx="1">
                  <c:v>0.27777777777777779</c:v>
                </c:pt>
              </c:numCache>
            </c:numRef>
          </c:val>
          <c:extLst>
            <c:ext xmlns:c16="http://schemas.microsoft.com/office/drawing/2014/chart" uri="{C3380CC4-5D6E-409C-BE32-E72D297353CC}">
              <c16:uniqueId val="{00000004-9B36-454B-958E-8E27A6DCC22D}"/>
            </c:ext>
          </c:extLst>
        </c:ser>
        <c:dLbls>
          <c:showLegendKey val="0"/>
          <c:showVal val="0"/>
          <c:showCatName val="0"/>
          <c:showSerName val="0"/>
          <c:showPercent val="0"/>
          <c:showBubbleSize val="0"/>
        </c:dLbls>
        <c:gapWidth val="219"/>
        <c:overlap val="-27"/>
        <c:axId val="1980995072"/>
        <c:axId val="1980998816"/>
      </c:barChart>
      <c:catAx>
        <c:axId val="1980995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de-DE"/>
          </a:p>
        </c:txPr>
        <c:crossAx val="1980998816"/>
        <c:crosses val="autoZero"/>
        <c:auto val="1"/>
        <c:lblAlgn val="ctr"/>
        <c:lblOffset val="100"/>
        <c:noMultiLvlLbl val="0"/>
      </c:catAx>
      <c:valAx>
        <c:axId val="198099881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de-DE"/>
          </a:p>
        </c:txPr>
        <c:crossAx val="19809950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de-DE">
                <a:solidFill>
                  <a:sysClr val="windowText" lastClr="000000"/>
                </a:solidFill>
              </a:rPr>
              <a:t>MCDA ranking</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de-DE"/>
        </a:p>
      </c:txPr>
    </c:title>
    <c:autoTitleDeleted val="0"/>
    <c:plotArea>
      <c:layout/>
      <c:barChart>
        <c:barDir val="col"/>
        <c:grouping val="clustered"/>
        <c:varyColors val="0"/>
        <c:ser>
          <c:idx val="0"/>
          <c:order val="0"/>
          <c:spPr>
            <a:solidFill>
              <a:schemeClr val="accent1"/>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FCB8-47BC-A5C7-8AC50C411925}"/>
              </c:ext>
            </c:extLst>
          </c:dPt>
          <c:dPt>
            <c:idx val="1"/>
            <c:invertIfNegative val="0"/>
            <c:bubble3D val="0"/>
            <c:spPr>
              <a:solidFill>
                <a:schemeClr val="accent6"/>
              </a:solidFill>
              <a:ln>
                <a:noFill/>
              </a:ln>
              <a:effectLst/>
            </c:spPr>
            <c:extLst>
              <c:ext xmlns:c16="http://schemas.microsoft.com/office/drawing/2014/chart" uri="{C3380CC4-5D6E-409C-BE32-E72D297353CC}">
                <c16:uniqueId val="{00000003-FCB8-47BC-A5C7-8AC50C41192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Ranking_calc!$E$47:$F$47</c:f>
              <c:strCache>
                <c:ptCount val="2"/>
                <c:pt idx="0">
                  <c:v>Electric Boda</c:v>
                </c:pt>
                <c:pt idx="1">
                  <c:v>ICE 150 CC</c:v>
                </c:pt>
              </c:strCache>
            </c:strRef>
          </c:cat>
          <c:val>
            <c:numRef>
              <c:f>Ranking_calc!$E$48:$F$48</c:f>
              <c:numCache>
                <c:formatCode>0.000</c:formatCode>
                <c:ptCount val="2"/>
                <c:pt idx="0">
                  <c:v>0.77777777777777779</c:v>
                </c:pt>
                <c:pt idx="1">
                  <c:v>0.27777777777777779</c:v>
                </c:pt>
              </c:numCache>
            </c:numRef>
          </c:val>
          <c:extLst>
            <c:ext xmlns:c16="http://schemas.microsoft.com/office/drawing/2014/chart" uri="{C3380CC4-5D6E-409C-BE32-E72D297353CC}">
              <c16:uniqueId val="{00000004-FCB8-47BC-A5C7-8AC50C411925}"/>
            </c:ext>
          </c:extLst>
        </c:ser>
        <c:dLbls>
          <c:showLegendKey val="0"/>
          <c:showVal val="0"/>
          <c:showCatName val="0"/>
          <c:showSerName val="0"/>
          <c:showPercent val="0"/>
          <c:showBubbleSize val="0"/>
        </c:dLbls>
        <c:gapWidth val="219"/>
        <c:overlap val="-27"/>
        <c:axId val="1980995072"/>
        <c:axId val="1980998816"/>
      </c:barChart>
      <c:catAx>
        <c:axId val="1980995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de-DE"/>
          </a:p>
        </c:txPr>
        <c:crossAx val="1980998816"/>
        <c:crosses val="autoZero"/>
        <c:auto val="1"/>
        <c:lblAlgn val="ctr"/>
        <c:lblOffset val="100"/>
        <c:noMultiLvlLbl val="0"/>
      </c:catAx>
      <c:valAx>
        <c:axId val="198099881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de-DE"/>
          </a:p>
        </c:txPr>
        <c:crossAx val="19809950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Ranking_calc!$E$47</c:f>
              <c:strCache>
                <c:ptCount val="1"/>
                <c:pt idx="0">
                  <c:v>Electric Boda</c:v>
                </c:pt>
              </c:strCache>
            </c:strRef>
          </c:tx>
          <c:spPr>
            <a:solidFill>
              <a:schemeClr val="accent1"/>
            </a:solidFill>
            <a:ln>
              <a:noFill/>
            </a:ln>
            <a:effectLst/>
          </c:spPr>
          <c:invertIfNegative val="0"/>
          <c:dLbls>
            <c:spPr>
              <a:solidFill>
                <a:schemeClr val="bg1"/>
              </a:solid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Liberation Sans" panose="020B0604020202020204" pitchFamily="34" charset="0"/>
                    <a:ea typeface="Liberation Sans" panose="020B0604020202020204" pitchFamily="34" charset="0"/>
                    <a:cs typeface="Liberation Sans" panose="020B0604020202020204" pitchFamily="34" charset="0"/>
                  </a:defRPr>
                </a:pPr>
                <a:endParaRPr lang="de-DE"/>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Ranking_calc!$E$48</c:f>
              <c:numCache>
                <c:formatCode>0.000</c:formatCode>
                <c:ptCount val="1"/>
                <c:pt idx="0">
                  <c:v>0.77777777777777779</c:v>
                </c:pt>
              </c:numCache>
            </c:numRef>
          </c:val>
          <c:extLst>
            <c:ext xmlns:c16="http://schemas.microsoft.com/office/drawing/2014/chart" uri="{C3380CC4-5D6E-409C-BE32-E72D297353CC}">
              <c16:uniqueId val="{00000000-28E5-40BE-A99A-09E77B392B80}"/>
            </c:ext>
          </c:extLst>
        </c:ser>
        <c:ser>
          <c:idx val="1"/>
          <c:order val="1"/>
          <c:tx>
            <c:strRef>
              <c:f>Ranking_calc!$F$47</c:f>
              <c:strCache>
                <c:ptCount val="1"/>
                <c:pt idx="0">
                  <c:v>ICE 150 CC</c:v>
                </c:pt>
              </c:strCache>
            </c:strRef>
          </c:tx>
          <c:spPr>
            <a:solidFill>
              <a:schemeClr val="accent6"/>
            </a:solidFill>
            <a:ln>
              <a:noFill/>
            </a:ln>
            <a:effectLst/>
          </c:spPr>
          <c:invertIfNegative val="0"/>
          <c:dLbls>
            <c:spPr>
              <a:solidFill>
                <a:schemeClr val="bg1"/>
              </a:solid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Liberation Sans" panose="020B0604020202020204" pitchFamily="34" charset="0"/>
                    <a:ea typeface="Liberation Sans" panose="020B0604020202020204" pitchFamily="34" charset="0"/>
                    <a:cs typeface="Liberation Sans" panose="020B0604020202020204" pitchFamily="34" charset="0"/>
                  </a:defRPr>
                </a:pPr>
                <a:endParaRPr lang="de-DE"/>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Ranking_calc!$F$48</c:f>
              <c:numCache>
                <c:formatCode>0.000</c:formatCode>
                <c:ptCount val="1"/>
                <c:pt idx="0">
                  <c:v>0.27777777777777779</c:v>
                </c:pt>
              </c:numCache>
            </c:numRef>
          </c:val>
          <c:extLst>
            <c:ext xmlns:c16="http://schemas.microsoft.com/office/drawing/2014/chart" uri="{C3380CC4-5D6E-409C-BE32-E72D297353CC}">
              <c16:uniqueId val="{00000001-28E5-40BE-A99A-09E77B392B80}"/>
            </c:ext>
          </c:extLst>
        </c:ser>
        <c:dLbls>
          <c:dLblPos val="inEnd"/>
          <c:showLegendKey val="0"/>
          <c:showVal val="1"/>
          <c:showCatName val="0"/>
          <c:showSerName val="0"/>
          <c:showPercent val="0"/>
          <c:showBubbleSize val="0"/>
        </c:dLbls>
        <c:gapWidth val="219"/>
        <c:overlap val="-27"/>
        <c:axId val="503089848"/>
        <c:axId val="503090504"/>
      </c:barChart>
      <c:catAx>
        <c:axId val="503089848"/>
        <c:scaling>
          <c:orientation val="minMax"/>
        </c:scaling>
        <c:delete val="1"/>
        <c:axPos val="b"/>
        <c:numFmt formatCode="General" sourceLinked="1"/>
        <c:majorTickMark val="none"/>
        <c:minorTickMark val="none"/>
        <c:tickLblPos val="nextTo"/>
        <c:crossAx val="503090504"/>
        <c:crosses val="autoZero"/>
        <c:auto val="1"/>
        <c:lblAlgn val="ctr"/>
        <c:lblOffset val="100"/>
        <c:noMultiLvlLbl val="0"/>
      </c:catAx>
      <c:valAx>
        <c:axId val="503090504"/>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iberation Sans" panose="020B0604020202020204" pitchFamily="34" charset="0"/>
                <a:ea typeface="Liberation Sans" panose="020B0604020202020204" pitchFamily="34" charset="0"/>
                <a:cs typeface="Liberation Sans" panose="020B0604020202020204" pitchFamily="34" charset="0"/>
              </a:defRPr>
            </a:pPr>
            <a:endParaRPr lang="de-DE"/>
          </a:p>
        </c:txPr>
        <c:crossAx val="503089848"/>
        <c:crosses val="autoZero"/>
        <c:crossBetween val="between"/>
        <c:majorUnit val="0.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data id="1">
      <cx:numDim type="val">
        <cx:f>_xlchart.v1.3</cx:f>
      </cx:numDim>
    </cx:data>
    <cx:data id="2">
      <cx:numDim type="val">
        <cx:f>_xlchart.v1.5</cx:f>
      </cx:numDim>
    </cx:data>
  </cx:chartData>
  <cx:chart>
    <cx:title pos="t" align="ctr" overlay="0">
      <cx:txPr>
        <a:bodyPr spcFirstLastPara="1" vertOverflow="ellipsis" horzOverflow="overflow" wrap="square" lIns="0" tIns="0" rIns="0" bIns="0" anchor="ctr" anchorCtr="1"/>
        <a:lstStyle/>
        <a:p>
          <a:pPr algn="ctr" rtl="0">
            <a:defRPr/>
          </a:pPr>
          <a:endParaRPr lang="fr-FR" sz="1400" b="0" i="0" u="none" strike="noStrike" baseline="0">
            <a:solidFill>
              <a:sysClr val="windowText" lastClr="000000">
                <a:lumMod val="65000"/>
                <a:lumOff val="35000"/>
              </a:sysClr>
            </a:solidFill>
            <a:latin typeface="Calibri" panose="020F0502020204030204"/>
          </a:endParaRPr>
        </a:p>
      </cx:txPr>
    </cx:title>
    <cx:plotArea>
      <cx:plotAreaRegion>
        <cx:series layoutId="boxWhisker" uniqueId="{D1D5DFB7-5417-4822-B9DA-D7D600D743DF}" formatIdx="0">
          <cx:tx>
            <cx:txData>
              <cx:f>_xlchart.v1.0</cx:f>
              <cx:v>Nanogrid</cx:v>
            </cx:txData>
          </cx:tx>
          <cx:dataId val="0"/>
          <cx:layoutPr>
            <cx:statistics quartileMethod="exclusive"/>
          </cx:layoutPr>
        </cx:series>
        <cx:series layoutId="boxWhisker" uniqueId="{47FEF233-E931-499A-9FB6-92C5ED7053FF}" formatIdx="1">
          <cx:tx>
            <cx:txData>
              <cx:f>_xlchart.v1.2</cx:f>
              <cx:v>SHS</cx:v>
            </cx:txData>
          </cx:tx>
          <cx:dataId val="1"/>
          <cx:layoutPr>
            <cx:statistics quartileMethod="exclusive"/>
          </cx:layoutPr>
        </cx:series>
        <cx:series layoutId="boxWhisker" uniqueId="{897504E1-F3B9-422C-86FA-8F15079DA503}" formatIdx="2">
          <cx:tx>
            <cx:txData>
              <cx:f>_xlchart.v1.4</cx:f>
              <cx:v>Stand-alone DG</cx:v>
            </cx:txData>
          </cx:tx>
          <cx:dataId val="2"/>
          <cx:layoutPr>
            <cx:statistics quartileMethod="exclusive"/>
          </cx:layoutPr>
        </cx:series>
      </cx:plotAreaRegion>
      <cx:axis id="0" hidden="1">
        <cx:catScaling gapWidth="1"/>
        <cx:tickLabels/>
      </cx:axis>
      <cx:axis id="1">
        <cx:valScaling/>
        <cx:title>
          <cx:tx>
            <cx:txData>
              <cx:v>€/kW</cx:v>
            </cx:txData>
          </cx:tx>
          <cx:txPr>
            <a:bodyPr spcFirstLastPara="1" vertOverflow="ellipsis" horzOverflow="overflow" wrap="square" lIns="0" tIns="0" rIns="0" bIns="0" anchor="ctr" anchorCtr="1"/>
            <a:lstStyle/>
            <a:p>
              <a:pPr algn="ctr" rtl="0">
                <a:defRPr/>
              </a:pPr>
              <a:r>
                <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rPr>
                <a:t>€/kW</a:t>
              </a:r>
            </a:p>
          </cx:txPr>
        </cx:title>
        <cx:majorGridlines/>
        <cx:tickLabels/>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_xlchart.v1.7</cx:f>
      </cx:numDim>
    </cx:data>
    <cx:data id="1">
      <cx:numDim type="val">
        <cx:f>_xlchart.v1.9</cx:f>
      </cx:numDim>
    </cx:data>
  </cx:chartData>
  <cx:chart>
    <cx:title pos="t" align="ctr" overlay="0">
      <cx:txPr>
        <a:bodyPr spcFirstLastPara="1" vertOverflow="ellipsis" horzOverflow="overflow" wrap="square" lIns="0" tIns="0" rIns="0" bIns="0" anchor="ctr" anchorCtr="1"/>
        <a:lstStyle/>
        <a:p>
          <a:pPr algn="ctr" rtl="0">
            <a:defRPr/>
          </a:pPr>
          <a:endParaRPr lang="fr-FR" sz="1400" b="0" i="0" u="none" strike="noStrike" baseline="0">
            <a:solidFill>
              <a:sysClr val="windowText" lastClr="000000">
                <a:lumMod val="65000"/>
                <a:lumOff val="35000"/>
              </a:sysClr>
            </a:solidFill>
            <a:latin typeface="Calibri" panose="020F0502020204030204"/>
          </a:endParaRPr>
        </a:p>
      </cx:txPr>
    </cx:title>
    <cx:plotArea>
      <cx:plotAreaRegion>
        <cx:series layoutId="boxWhisker" uniqueId="{D1D5DFB7-5417-4822-B9DA-D7D600D743DF}" formatIdx="0">
          <cx:tx>
            <cx:txData>
              <cx:f>_xlchart.v1.6</cx:f>
              <cx:v>Electric boda</cx:v>
            </cx:txData>
          </cx:tx>
          <cx:dataId val="0"/>
          <cx:layoutPr>
            <cx:statistics quartileMethod="exclusive"/>
          </cx:layoutPr>
        </cx:series>
        <cx:series layoutId="boxWhisker" uniqueId="{47FEF233-E931-499A-9FB6-92C5ED7053FF}" formatIdx="1">
          <cx:tx>
            <cx:txData>
              <cx:f>_xlchart.v1.8</cx:f>
              <cx:v>ICE 150 cc</cx:v>
            </cx:txData>
          </cx:tx>
          <cx:dataId val="1"/>
          <cx:layoutPr>
            <cx:statistics quartileMethod="exclusive"/>
          </cx:layoutPr>
        </cx:series>
      </cx:plotAreaRegion>
      <cx:axis id="0" hidden="1">
        <cx:catScaling gapWidth="1"/>
        <cx:tickLabels/>
      </cx:axis>
      <cx:axis id="1">
        <cx:valScaling/>
        <cx:title>
          <cx:tx>
            <cx:txData>
              <cx:v>€/kW</cx:v>
            </cx:txData>
          </cx:tx>
          <cx:txPr>
            <a:bodyPr spcFirstLastPara="1" vertOverflow="ellipsis" horzOverflow="overflow" wrap="square" lIns="0" tIns="0" rIns="0" bIns="0" anchor="ctr" anchorCtr="1"/>
            <a:lstStyle/>
            <a:p>
              <a:pPr algn="ctr" rtl="0">
                <a:defRPr/>
              </a:pPr>
              <a:r>
                <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rPr>
                <a:t>€/kW</a:t>
              </a:r>
            </a:p>
          </cx:txPr>
        </cx:title>
        <cx:majorGridlines/>
        <cx:tickLabels/>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_xlchart.v1.11</cx:f>
      </cx:numDim>
    </cx:data>
    <cx:data id="1">
      <cx:numDim type="val">
        <cx:f>_xlchart.v1.13</cx:f>
      </cx:numDim>
    </cx:data>
  </cx:chartData>
  <cx:chart>
    <cx:plotArea>
      <cx:plotAreaRegion>
        <cx:series layoutId="boxWhisker" uniqueId="{9A4E6DA5-2876-4E94-8F9D-028EA5B828CD}" formatIdx="0">
          <cx:tx>
            <cx:txData>
              <cx:f>_xlchart.v1.10</cx:f>
              <cx:v>Electric boda</cx:v>
            </cx:txData>
          </cx:tx>
          <cx:dataId val="0"/>
          <cx:layoutPr>
            <cx:statistics quartileMethod="exclusive"/>
          </cx:layoutPr>
        </cx:series>
        <cx:series layoutId="boxWhisker" uniqueId="{15CA5E64-4567-40F5-99FB-9CE27065D928}" formatIdx="1">
          <cx:tx>
            <cx:txData>
              <cx:f>_xlchart.v1.12</cx:f>
              <cx:v>ICE 150 cc</cx:v>
            </cx:txData>
          </cx:tx>
          <cx:dataId val="1"/>
          <cx:layoutPr>
            <cx:statistics quartileMethod="exclusive"/>
          </cx:layoutPr>
        </cx:series>
      </cx:plotAreaRegion>
      <cx:axis id="0" hidden="1">
        <cx:catScaling gapWidth="1"/>
        <cx:tickLabels/>
      </cx:axis>
      <cx:axis id="1">
        <cx:valScaling/>
        <cx:title>
          <cx:tx>
            <cx:txData>
              <cx:v>€</cx:v>
            </cx:txData>
          </cx:tx>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r>
                <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rPr>
                <a:t>€</a:t>
              </a:r>
            </a:p>
          </cx:txPr>
        </cx:title>
        <cx:majorGridlines/>
        <cx:tickLabels/>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_xlchart.v1.15</cx:f>
      </cx:numDim>
    </cx:data>
    <cx:data id="1">
      <cx:numDim type="val">
        <cx:f>_xlchart.v1.17</cx:f>
      </cx:numDim>
    </cx:data>
  </cx:chartData>
  <cx:chart>
    <cx:plotArea>
      <cx:plotAreaRegion>
        <cx:series layoutId="boxWhisker" uniqueId="{8E545B99-92E3-4376-B09C-53EC700D6B01}" formatIdx="0">
          <cx:tx>
            <cx:txData>
              <cx:f>_xlchart.v1.14</cx:f>
              <cx:v>Electric boda</cx:v>
            </cx:txData>
          </cx:tx>
          <cx:dataId val="0"/>
          <cx:layoutPr>
            <cx:statistics quartileMethod="exclusive"/>
          </cx:layoutPr>
        </cx:series>
        <cx:series layoutId="boxWhisker" uniqueId="{62DFF323-3D19-4F0B-9686-3F208AEEA553}" formatIdx="1">
          <cx:tx>
            <cx:txData>
              <cx:f>_xlchart.v1.16</cx:f>
              <cx:v>ICE 150 cc</cx:v>
            </cx:txData>
          </cx:tx>
          <cx:dataId val="1"/>
          <cx:layoutPr>
            <cx:statistics quartileMethod="exclusive"/>
          </cx:layoutPr>
        </cx:series>
      </cx:plotAreaRegion>
      <cx:axis id="0" hidden="1">
        <cx:catScaling gapWidth="1"/>
        <cx:tickLabels/>
      </cx:axis>
      <cx:axis id="1">
        <cx:valScaling/>
        <cx:title>
          <cx:tx>
            <cx:txData>
              <cx:v>yr</cx:v>
            </cx:txData>
          </cx:tx>
          <cx:txPr>
            <a:bodyPr spcFirstLastPara="1" vertOverflow="ellipsis" horzOverflow="overflow" wrap="square" lIns="0" tIns="0" rIns="0" bIns="0" anchor="ctr" anchorCtr="1"/>
            <a:lstStyle/>
            <a:p>
              <a:pPr algn="ctr" rtl="0">
                <a:defRPr/>
              </a:pPr>
              <a:r>
                <a:rPr lang="de-DE" sz="900" b="0" i="0" u="none" strike="noStrike" baseline="0">
                  <a:solidFill>
                    <a:sysClr val="windowText" lastClr="000000">
                      <a:lumMod val="65000"/>
                      <a:lumOff val="35000"/>
                    </a:sysClr>
                  </a:solidFill>
                  <a:latin typeface="Calibri" panose="020F0502020204030204"/>
                </a:rPr>
                <a:t>yr</a:t>
              </a:r>
            </a:p>
          </cx:txPr>
        </cx:title>
        <cx:majorGridlines/>
        <cx:tickLabels/>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numDim type="val">
        <cx:f>_xlchart.v1.19</cx:f>
      </cx:numDim>
    </cx:data>
    <cx:data id="1">
      <cx:numDim type="val">
        <cx:f>_xlchart.v1.21</cx:f>
      </cx:numDim>
    </cx:data>
  </cx:chartData>
  <cx:chart>
    <cx:plotArea>
      <cx:plotAreaRegion>
        <cx:series layoutId="boxWhisker" uniqueId="{FB841335-0800-46AC-A3AE-DD16C2214A52}" formatIdx="0">
          <cx:tx>
            <cx:txData>
              <cx:f>_xlchart.v1.18</cx:f>
              <cx:v>Electric boda</cx:v>
            </cx:txData>
          </cx:tx>
          <cx:dataId val="0"/>
          <cx:layoutPr>
            <cx:statistics quartileMethod="exclusive"/>
          </cx:layoutPr>
        </cx:series>
        <cx:series layoutId="boxWhisker" uniqueId="{1D0E75E6-D5CD-42A2-9B31-AB33F857DD51}" formatIdx="2">
          <cx:tx>
            <cx:txData>
              <cx:f>_xlchart.v1.20</cx:f>
              <cx:v>ICE 150 cc</cx:v>
            </cx:txData>
          </cx:tx>
          <cx:spPr>
            <a:solidFill>
              <a:schemeClr val="accent2"/>
            </a:solidFill>
          </cx:spPr>
          <cx:dataId val="1"/>
          <cx:layoutPr>
            <cx:statistics quartileMethod="exclusive"/>
          </cx:layoutPr>
        </cx:series>
      </cx:plotAreaRegion>
      <cx:axis id="0" hidden="1">
        <cx:catScaling gapWidth="1"/>
        <cx:tickLabels/>
      </cx:axis>
      <cx:axis id="1">
        <cx:valScaling/>
        <cx:title>
          <cx:tx>
            <cx:txData>
              <cx:v>€/kWh</cx:v>
            </cx:txData>
          </cx:tx>
          <cx:txPr>
            <a:bodyPr spcFirstLastPara="1" vertOverflow="ellipsis" horzOverflow="overflow" wrap="square" lIns="0" tIns="0" rIns="0" bIns="0" anchor="ctr" anchorCtr="1"/>
            <a:lstStyle/>
            <a:p>
              <a:pPr algn="ctr" rtl="0">
                <a:defRPr/>
              </a:pPr>
              <a:r>
                <a:rPr lang="de-DE" sz="900" b="0" i="0" u="none" strike="noStrike" baseline="0">
                  <a:solidFill>
                    <a:sysClr val="windowText" lastClr="000000">
                      <a:lumMod val="65000"/>
                      <a:lumOff val="35000"/>
                    </a:sysClr>
                  </a:solidFill>
                  <a:latin typeface="Calibri" panose="020F0502020204030204"/>
                </a:rPr>
                <a:t>€/kWh</a:t>
              </a:r>
            </a:p>
          </cx:txPr>
        </cx:title>
        <cx:majorGridlines/>
        <cx:tickLabels/>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numDim type="val">
        <cx:f>_xlchart.v1.23</cx:f>
      </cx:numDim>
    </cx:data>
    <cx:data id="1">
      <cx:numDim type="val">
        <cx:f>_xlchart.v1.25</cx:f>
      </cx:numDim>
    </cx:data>
  </cx:chartData>
  <cx:chart>
    <cx:title pos="t" align="ctr" overlay="0">
      <cx:txPr>
        <a:bodyPr spcFirstLastPara="1" vertOverflow="ellipsis" horzOverflow="overflow" wrap="square" lIns="0" tIns="0" rIns="0" bIns="0" anchor="ctr" anchorCtr="1"/>
        <a:lstStyle/>
        <a:p>
          <a:pPr algn="ctr" rtl="0">
            <a:defRPr/>
          </a:pPr>
          <a:endParaRPr lang="fr-FR" sz="1400" b="0" i="0" u="none" strike="noStrike" baseline="0">
            <a:solidFill>
              <a:sysClr val="windowText" lastClr="000000">
                <a:lumMod val="65000"/>
                <a:lumOff val="35000"/>
              </a:sysClr>
            </a:solidFill>
            <a:latin typeface="Calibri" panose="020F0502020204030204"/>
          </a:endParaRPr>
        </a:p>
      </cx:txPr>
    </cx:title>
    <cx:plotArea>
      <cx:plotAreaRegion>
        <cx:series layoutId="boxWhisker" uniqueId="{D1D5DFB7-5417-4822-B9DA-D7D600D743DF}" formatIdx="0">
          <cx:tx>
            <cx:txData>
              <cx:f>_xlchart.v1.22</cx:f>
              <cx:v>Anaerobic digester</cx:v>
            </cx:txData>
          </cx:tx>
          <cx:dataId val="0"/>
          <cx:layoutPr>
            <cx:statistics quartileMethod="exclusive"/>
          </cx:layoutPr>
        </cx:series>
        <cx:series layoutId="boxWhisker" uniqueId="{47FEF233-E931-499A-9FB6-92C5ED7053FF}" formatIdx="1">
          <cx:tx>
            <cx:txData>
              <cx:f>_xlchart.v1.24</cx:f>
              <cx:v>Floating drum digester</cx:v>
            </cx:txData>
          </cx:tx>
          <cx:dataId val="1"/>
          <cx:layoutPr>
            <cx:statistics quartileMethod="exclusive"/>
          </cx:layoutPr>
        </cx:series>
      </cx:plotAreaRegion>
      <cx:axis id="0" hidden="1">
        <cx:catScaling gapWidth="1"/>
        <cx:tickLabels/>
      </cx:axis>
      <cx:axis id="1">
        <cx:valScaling/>
        <cx:title>
          <cx:tx>
            <cx:txData>
              <cx:v>€kW/yr</cx:v>
            </cx:txData>
          </cx:tx>
          <cx:txPr>
            <a:bodyPr spcFirstLastPara="1" vertOverflow="ellipsis" horzOverflow="overflow" wrap="square" lIns="0" tIns="0" rIns="0" bIns="0" anchor="ctr" anchorCtr="1"/>
            <a:lstStyle/>
            <a:p>
              <a:pPr algn="ctr" rtl="0">
                <a:defRPr/>
              </a:pPr>
              <a:r>
                <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rPr>
                <a:t>€kW/yr</a:t>
              </a:r>
            </a:p>
          </cx:txPr>
        </cx:title>
        <cx:majorGridlines/>
        <cx:tickLabels/>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numDim type="val">
        <cx:f>_xlchart.v1.27</cx:f>
      </cx:numDim>
    </cx:data>
    <cx:data id="1">
      <cx:numDim type="val">
        <cx:f>_xlchart.v1.29</cx:f>
      </cx:numDim>
    </cx:data>
  </cx:chartData>
  <cx:chart>
    <cx:plotArea>
      <cx:plotAreaRegion>
        <cx:series layoutId="boxWhisker" uniqueId="{5F29C8EB-DC3E-4932-8037-46753AD31538}" formatIdx="0">
          <cx:tx>
            <cx:txData>
              <cx:f>_xlchart.v1.26</cx:f>
              <cx:v>Electric Boda</cx:v>
            </cx:txData>
          </cx:tx>
          <cx:dataId val="0"/>
          <cx:layoutPr>
            <cx:statistics quartileMethod="exclusive"/>
          </cx:layoutPr>
        </cx:series>
        <cx:series layoutId="boxWhisker" uniqueId="{76912BDC-2431-4B9C-8101-23B940721C42}" formatIdx="1">
          <cx:tx>
            <cx:txData>
              <cx:f>_xlchart.v1.28</cx:f>
              <cx:v>ICE 150 cc</cx:v>
            </cx:txData>
          </cx:tx>
          <cx:dataId val="1"/>
          <cx:layoutPr>
            <cx:statistics quartileMethod="exclusive"/>
          </cx:layoutPr>
        </cx:series>
      </cx:plotAreaRegion>
      <cx:axis id="0" hidden="1">
        <cx:catScaling gapWidth="1"/>
        <cx:tickLabels/>
      </cx:axis>
      <cx:axis id="1">
        <cx:valScaling/>
        <cx:title>
          <cx:tx>
            <cx:txData>
              <cx:v>m2/MWh</cx:v>
            </cx:txData>
          </cx:tx>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r>
                <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rPr>
                <a:t>m2/MWh</a:t>
              </a:r>
            </a:p>
          </cx:txPr>
        </cx:title>
        <cx:majorGridlines/>
        <cx:tickLabels/>
      </cx:axis>
    </cx:plotArea>
    <cx:legend pos="b" align="ctr" overlay="0">
      <cx:txPr>
        <a:bodyPr spcFirstLastPara="1" vertOverflow="ellipsis" horzOverflow="overflow" wrap="square" lIns="0" tIns="0" rIns="0" bIns="0" anchor="ctr" anchorCtr="1"/>
        <a:lstStyle/>
        <a:p>
          <a:pPr algn="ctr" rtl="0">
            <a:defRPr/>
          </a:pPr>
          <a:endParaRPr lang="fr-FR" sz="900" b="0" i="0" u="none" strike="noStrike" baseline="0">
            <a:solidFill>
              <a:sysClr val="windowText" lastClr="000000">
                <a:lumMod val="65000"/>
                <a:lumOff val="35000"/>
              </a:sysClr>
            </a:solidFill>
            <a:latin typeface="Calibri" panose="020F0502020204030204"/>
          </a:endParaRPr>
        </a:p>
      </cx:txPr>
    </cx:legend>
  </cx:chart>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numDim type="val">
        <cx:f>_xlchart.v1.31</cx:f>
      </cx:numDim>
    </cx:data>
    <cx:data id="1">
      <cx:numDim type="val">
        <cx:f>_xlchart.v1.33</cx:f>
      </cx:numDim>
    </cx:data>
  </cx:chartData>
  <cx:chart>
    <cx:plotArea>
      <cx:plotAreaRegion>
        <cx:series layoutId="boxWhisker" uniqueId="{C3E9A3E3-4031-43FD-B538-1B1ABFA4A84C}" formatIdx="0">
          <cx:tx>
            <cx:txData>
              <cx:f>_xlchart.v1.30</cx:f>
              <cx:v>Electric boda</cx:v>
            </cx:txData>
          </cx:tx>
          <cx:dataId val="0"/>
          <cx:layoutPr>
            <cx:statistics quartileMethod="exclusive"/>
          </cx:layoutPr>
        </cx:series>
        <cx:series layoutId="boxWhisker" uniqueId="{BCF7BF60-2915-4309-8552-B8661887BFFC}" formatIdx="1">
          <cx:tx>
            <cx:txData>
              <cx:f>_xlchart.v1.32</cx:f>
              <cx:v>ICE 150 cc</cx:v>
            </cx:txData>
          </cx:tx>
          <cx:dataId val="1"/>
          <cx:layoutPr>
            <cx:statistics quartileMethod="exclusive"/>
          </cx:layoutPr>
        </cx:series>
      </cx:plotAreaRegion>
      <cx:axis id="0" hidden="1">
        <cx:catScaling gapWidth="1"/>
        <cx:tickLabels/>
      </cx:axis>
      <cx:axis id="1">
        <cx:valScaling/>
        <cx:title>
          <cx:tx>
            <cx:txData>
              <cx:v>gCO2-eq./kWh</cx:v>
            </cx:txData>
          </cx:tx>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r>
                <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rPr>
                <a:t>gCO2-eq./kWh</a:t>
              </a:r>
            </a:p>
          </cx:txPr>
        </cx:title>
        <cx:majorGridlines/>
        <cx:tickLabels/>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numDim type="val">
        <cx:f>_xlchart.v1.35</cx:f>
      </cx:numDim>
    </cx:data>
    <cx:data id="1">
      <cx:numDim type="val">
        <cx:f>_xlchart.v1.37</cx:f>
      </cx:numDim>
    </cx:data>
  </cx:chartData>
  <cx:chart>
    <cx:plotArea>
      <cx:plotAreaRegion>
        <cx:series layoutId="boxWhisker" uniqueId="{5218B811-C511-4A49-B814-41E702241472}" formatIdx="0">
          <cx:tx>
            <cx:txData>
              <cx:f>_xlchart.v1.34</cx:f>
              <cx:v>Electric boda</cx:v>
            </cx:txData>
          </cx:tx>
          <cx:dataId val="0"/>
          <cx:layoutPr>
            <cx:statistics quartileMethod="exclusive"/>
          </cx:layoutPr>
        </cx:series>
        <cx:series layoutId="boxWhisker" uniqueId="{C6C8DA0C-327E-46C8-B10B-A7FB4F033EA6}" formatIdx="1">
          <cx:tx>
            <cx:txData>
              <cx:f>_xlchart.v1.36</cx:f>
              <cx:v>ICE 150 cc</cx:v>
            </cx:txData>
          </cx:tx>
          <cx:dataId val="1"/>
          <cx:layoutPr>
            <cx:statistics quartileMethod="exclusive"/>
          </cx:layoutPr>
        </cx:series>
      </cx:plotAreaRegion>
      <cx:axis id="0" hidden="1">
        <cx:catScaling gapWidth="1"/>
        <cx:tickLabels/>
      </cx:axis>
      <cx:axis id="1">
        <cx:valScaling/>
        <cx:title>
          <cx:tx>
            <cx:txData>
              <cx:v>m²/MWh</cx:v>
            </cx:txData>
          </cx:tx>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r>
                <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rPr>
                <a:t>m²/MWh</a:t>
              </a:r>
            </a:p>
          </cx:txPr>
        </cx:title>
        <cx:majorGridlines/>
        <cx:tickLabels/>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10.xml><?xml version="1.0" encoding="utf-8"?>
<cx:chartSpace xmlns:a="http://schemas.openxmlformats.org/drawingml/2006/main" xmlns:r="http://schemas.openxmlformats.org/officeDocument/2006/relationships" xmlns:cx="http://schemas.microsoft.com/office/drawing/2014/chartex">
  <cx:chartData>
    <cx:data id="0">
      <cx:numDim type="val">
        <cx:f>_xlchart.v1.39</cx:f>
      </cx:numDim>
    </cx:data>
    <cx:data id="1">
      <cx:numDim type="val">
        <cx:f>_xlchart.v1.41</cx:f>
      </cx:numDim>
    </cx:data>
  </cx:chartData>
  <cx:chart>
    <cx:plotArea>
      <cx:plotAreaRegion>
        <cx:series layoutId="boxWhisker" uniqueId="{29454E33-4EFA-4483-8491-0D8F8E9AA6B2}" formatIdx="0">
          <cx:tx>
            <cx:txData>
              <cx:f>_xlchart.v1.38</cx:f>
              <cx:v>Electric boda</cx:v>
            </cx:txData>
          </cx:tx>
          <cx:dataId val="0"/>
          <cx:layoutPr>
            <cx:statistics quartileMethod="exclusive"/>
          </cx:layoutPr>
        </cx:series>
        <cx:series layoutId="boxWhisker" uniqueId="{1A4FF9B1-7DBA-4752-A50B-D85CD10F129D}" formatIdx="1">
          <cx:tx>
            <cx:txData>
              <cx:f>_xlchart.v1.40</cx:f>
              <cx:v>ICE 150 cc</cx:v>
            </cx:txData>
          </cx:tx>
          <cx:dataId val="1"/>
          <cx:layoutPr>
            <cx:statistics quartileMethod="exclusive"/>
          </cx:layoutPr>
        </cx:series>
      </cx:plotAreaRegion>
      <cx:axis id="0" hidden="1">
        <cx:catScaling gapWidth="1"/>
        <cx:tickLabels/>
      </cx:axis>
      <cx:axis id="1">
        <cx:valScaling/>
        <cx:title>
          <cx:tx>
            <cx:rich>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r>
                  <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rPr>
                  <a:t>%</a:t>
                </a:r>
              </a:p>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rich>
          </cx:tx>
        </cx:title>
        <cx:majorGridlines/>
        <cx:tickLabels/>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11.xml><?xml version="1.0" encoding="utf-8"?>
<cx:chartSpace xmlns:a="http://schemas.openxmlformats.org/drawingml/2006/main" xmlns:r="http://schemas.openxmlformats.org/officeDocument/2006/relationships" xmlns:cx="http://schemas.microsoft.com/office/drawing/2014/chartex">
  <cx:chartData>
    <cx:data id="0">
      <cx:numDim type="val">
        <cx:f>_xlchart.v1.43</cx:f>
      </cx:numDim>
    </cx:data>
    <cx:data id="1">
      <cx:numDim type="val">
        <cx:f>_xlchart.v1.45</cx:f>
      </cx:numDim>
    </cx:data>
  </cx:chartData>
  <cx:chart>
    <cx:plotArea>
      <cx:plotAreaRegion>
        <cx:series layoutId="boxWhisker" uniqueId="{73AA547D-D0A2-4CFE-8000-26BF000131C6}" formatIdx="0">
          <cx:tx>
            <cx:txData>
              <cx:f>_xlchart.v1.42</cx:f>
              <cx:v>Electric boda</cx:v>
            </cx:txData>
          </cx:tx>
          <cx:dataId val="0"/>
          <cx:layoutPr>
            <cx:statistics quartileMethod="exclusive"/>
          </cx:layoutPr>
        </cx:series>
        <cx:series layoutId="boxWhisker" uniqueId="{564927B9-901F-4771-9DC5-0BF52B6AA7BD}" formatIdx="1">
          <cx:tx>
            <cx:txData>
              <cx:f>_xlchart.v1.44</cx:f>
              <cx:v>ICE 150 cc</cx:v>
            </cx:txData>
          </cx:tx>
          <cx:dataId val="1"/>
          <cx:layoutPr>
            <cx:statistics quartileMethod="exclusive"/>
          </cx:layoutPr>
        </cx:series>
      </cx:plotAreaRegion>
      <cx:axis id="0" hidden="1">
        <cx:catScaling gapWidth="1"/>
        <cx:tickLabels/>
      </cx:axis>
      <cx:axis id="1">
        <cx:valScaling/>
        <cx:title>
          <cx:tx>
            <cx:txData>
              <cx:v>%</cx:v>
            </cx:txData>
          </cx:tx>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r>
                <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rPr>
                <a:t>%</a:t>
              </a:r>
            </a:p>
          </cx:txPr>
        </cx:title>
        <cx:majorGridlines/>
        <cx:tickLabels/>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12.xml><?xml version="1.0" encoding="utf-8"?>
<cx:chartSpace xmlns:a="http://schemas.openxmlformats.org/drawingml/2006/main" xmlns:r="http://schemas.openxmlformats.org/officeDocument/2006/relationships" xmlns:cx="http://schemas.microsoft.com/office/drawing/2014/chartex">
  <cx:chartData>
    <cx:data id="0">
      <cx:numDim type="val">
        <cx:f>_xlchart.v1.47</cx:f>
      </cx:numDim>
    </cx:data>
    <cx:data id="1">
      <cx:numDim type="val">
        <cx:f>_xlchart.v1.49</cx:f>
      </cx:numDim>
    </cx:data>
  </cx:chartData>
  <cx:chart>
    <cx:plotArea>
      <cx:plotAreaRegion>
        <cx:series layoutId="boxWhisker" uniqueId="{25EBC604-77BC-4763-AE9F-CFF7E9A3CBF2}" formatIdx="0">
          <cx:tx>
            <cx:txData>
              <cx:f>_xlchart.v1.46</cx:f>
              <cx:v>electric boda</cx:v>
            </cx:txData>
          </cx:tx>
          <cx:dataId val="0"/>
          <cx:layoutPr>
            <cx:statistics quartileMethod="exclusive"/>
          </cx:layoutPr>
        </cx:series>
        <cx:series layoutId="boxWhisker" uniqueId="{F3C6071A-C43F-4970-9006-2232CBCA66D4}" formatIdx="1">
          <cx:tx>
            <cx:txData>
              <cx:f>_xlchart.v1.48</cx:f>
              <cx:v>ICE 150 cc</cx:v>
            </cx:txData>
          </cx:tx>
          <cx:dataId val="1"/>
          <cx:layoutPr>
            <cx:statistics quartileMethod="exclusive"/>
          </cx:layoutPr>
        </cx:series>
      </cx:plotAreaRegion>
      <cx:axis id="0" hidden="1">
        <cx:catScaling gapWidth="1"/>
        <cx:tickLabels/>
      </cx:axis>
      <cx:axis id="1">
        <cx:valScaling/>
        <cx:title>
          <cx:tx>
            <cx:txData>
              <cx:v>jobs/MW</cx:v>
            </cx:txData>
          </cx:tx>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r>
                <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rPr>
                <a:t>jobs/MW</a:t>
              </a:r>
            </a:p>
          </cx:txPr>
        </cx:title>
        <cx:majorGridlines/>
        <cx:tickLabels/>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13.xml><?xml version="1.0" encoding="utf-8"?>
<cx:chartSpace xmlns:a="http://schemas.openxmlformats.org/drawingml/2006/main" xmlns:r="http://schemas.openxmlformats.org/officeDocument/2006/relationships" xmlns:cx="http://schemas.microsoft.com/office/drawing/2014/chartex">
  <cx:chartData>
    <cx:data id="0">
      <cx:numDim type="val">
        <cx:f>_xlchart.v1.51</cx:f>
      </cx:numDim>
    </cx:data>
    <cx:data id="1">
      <cx:numDim type="val">
        <cx:f>_xlchart.v1.53</cx:f>
      </cx:numDim>
    </cx:data>
  </cx:chartData>
  <cx:chart>
    <cx:plotArea>
      <cx:plotAreaRegion>
        <cx:series layoutId="boxWhisker" uniqueId="{25EBC604-77BC-4763-AE9F-CFF7E9A3CBF2}" formatIdx="0">
          <cx:tx>
            <cx:txData>
              <cx:f>_xlchart.v1.50</cx:f>
              <cx:v>Electric boda</cx:v>
            </cx:txData>
          </cx:tx>
          <cx:dataId val="0"/>
          <cx:layoutPr>
            <cx:statistics quartileMethod="exclusive"/>
          </cx:layoutPr>
        </cx:series>
        <cx:series layoutId="boxWhisker" uniqueId="{F3C6071A-C43F-4970-9006-2232CBCA66D4}" formatIdx="1">
          <cx:tx>
            <cx:txData>
              <cx:f>_xlchart.v1.52</cx:f>
              <cx:v>ICE 150 cc</cx:v>
            </cx:txData>
          </cx:tx>
          <cx:dataId val="1"/>
          <cx:layoutPr>
            <cx:statistics quartileMethod="exclusive"/>
          </cx:layoutPr>
        </cx:series>
      </cx:plotAreaRegion>
      <cx:axis id="0" hidden="1">
        <cx:catScaling gapWidth="1"/>
        <cx:tickLabels/>
      </cx:axis>
      <cx:axis id="1">
        <cx:valScaling/>
        <cx:title>
          <cx:tx>
            <cx:txData>
              <cx:v>jobs/MW</cx:v>
            </cx:txData>
          </cx:tx>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r>
                <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rPr>
                <a:t>jobs/MW</a:t>
              </a:r>
            </a:p>
          </cx:txPr>
        </cx:title>
        <cx:majorGridlines/>
        <cx:tickLabels/>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14.xml><?xml version="1.0" encoding="utf-8"?>
<cx:chartSpace xmlns:a="http://schemas.openxmlformats.org/drawingml/2006/main" xmlns:r="http://schemas.openxmlformats.org/officeDocument/2006/relationships" xmlns:cx="http://schemas.microsoft.com/office/drawing/2014/chartex">
  <cx:chartData>
    <cx:data id="0">
      <cx:numDim type="val">
        <cx:f>_xlchart.v1.55</cx:f>
      </cx:numDim>
    </cx:data>
    <cx:data id="1">
      <cx:numDim type="val">
        <cx:f>_xlchart.v1.57</cx:f>
      </cx:numDim>
    </cx:data>
  </cx:chartData>
  <cx:chart>
    <cx:plotArea>
      <cx:plotAreaRegion>
        <cx:series layoutId="boxWhisker" uniqueId="{25EBC604-77BC-4763-AE9F-CFF7E9A3CBF2}" formatIdx="0">
          <cx:tx>
            <cx:txData>
              <cx:f>_xlchart.v1.54</cx:f>
              <cx:v>Electric boda</cx:v>
            </cx:txData>
          </cx:tx>
          <cx:dataId val="0"/>
          <cx:layoutPr>
            <cx:statistics quartileMethod="exclusive"/>
          </cx:layoutPr>
        </cx:series>
        <cx:series layoutId="boxWhisker" uniqueId="{F3C6071A-C43F-4970-9006-2232CBCA66D4}" formatIdx="1">
          <cx:tx>
            <cx:txData>
              <cx:f>_xlchart.v1.56</cx:f>
              <cx:v>ICE 150 cc</cx:v>
            </cx:txData>
          </cx:tx>
          <cx:dataId val="1"/>
          <cx:layoutPr>
            <cx:statistics quartileMethod="exclusive"/>
          </cx:layoutPr>
        </cx:series>
      </cx:plotAreaRegion>
      <cx:axis id="0" hidden="1">
        <cx:catScaling gapWidth="1"/>
        <cx:tickLabels/>
      </cx:axis>
      <cx:axis id="1">
        <cx:valScaling/>
        <cx:title>
          <cx:tx>
            <cx:txData>
              <cx:v># Number</cx:v>
            </cx:txData>
          </cx:tx>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r>
                <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rPr>
                <a:t># Number</a:t>
              </a:r>
            </a:p>
          </cx:txPr>
        </cx:title>
        <cx:majorGridlines/>
        <cx:tickLabels/>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15.xml><?xml version="1.0" encoding="utf-8"?>
<cx:chartSpace xmlns:a="http://schemas.openxmlformats.org/drawingml/2006/main" xmlns:r="http://schemas.openxmlformats.org/officeDocument/2006/relationships" xmlns:cx="http://schemas.microsoft.com/office/drawing/2014/chartex">
  <cx:chartData>
    <cx:data id="0">
      <cx:numDim type="val">
        <cx:f>_xlchart.v1.59</cx:f>
      </cx:numDim>
    </cx:data>
    <cx:data id="1">
      <cx:numDim type="val">
        <cx:f>_xlchart.v1.61</cx:f>
      </cx:numDim>
    </cx:data>
  </cx:chartData>
  <cx:chart>
    <cx:plotArea>
      <cx:plotAreaRegion>
        <cx:series layoutId="boxWhisker" uniqueId="{7EEC9E98-FECD-48DA-B5DF-6C8F8D9608B1}" formatIdx="0">
          <cx:tx>
            <cx:txData>
              <cx:f>_xlchart.v1.58</cx:f>
              <cx:v>Electric boda</cx:v>
            </cx:txData>
          </cx:tx>
          <cx:dataId val="0"/>
          <cx:layoutPr>
            <cx:statistics quartileMethod="exclusive"/>
          </cx:layoutPr>
        </cx:series>
        <cx:series layoutId="boxWhisker" uniqueId="{15694664-EFFE-4097-AF4E-A6516239C1EB}" formatIdx="1">
          <cx:tx>
            <cx:txData>
              <cx:f>_xlchart.v1.60</cx:f>
              <cx:v>ICE 150 cc</cx:v>
            </cx:txData>
          </cx:tx>
          <cx:dataId val="1"/>
          <cx:layoutPr>
            <cx:statistics quartileMethod="exclusive"/>
          </cx:layoutPr>
        </cx:series>
      </cx:plotAreaRegion>
      <cx:axis id="0" hidden="1">
        <cx:catScaling gapWidth="1"/>
        <cx:tickLabels/>
      </cx:axis>
      <cx:axis id="1">
        <cx:valScaling/>
        <cx:title>
          <cx:tx>
            <cx:txData>
              <cx:v>%</cx:v>
            </cx:txData>
          </cx:tx>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r>
                <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rPr>
                <a:t>%</a:t>
              </a:r>
            </a:p>
          </cx:txPr>
        </cx:title>
        <cx:majorGridlines/>
        <cx:tickLabels/>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16.xml><?xml version="1.0" encoding="utf-8"?>
<cx:chartSpace xmlns:a="http://schemas.openxmlformats.org/drawingml/2006/main" xmlns:r="http://schemas.openxmlformats.org/officeDocument/2006/relationships" xmlns:cx="http://schemas.microsoft.com/office/drawing/2014/chartex">
  <cx:chartData>
    <cx:data id="0">
      <cx:numDim type="val">
        <cx:f>_xlchart.v1.64</cx:f>
      </cx:numDim>
    </cx:data>
    <cx:data id="1">
      <cx:numDim type="val">
        <cx:f>_xlchart.v1.65</cx:f>
      </cx:numDim>
    </cx:data>
  </cx:chartData>
  <cx:chart>
    <cx:plotArea>
      <cx:plotAreaRegion>
        <cx:series layoutId="boxWhisker" uniqueId="{7EEC9E98-FECD-48DA-B5DF-6C8F8D9608B1}" formatIdx="0">
          <cx:tx>
            <cx:txData>
              <cx:f>_xlchart.v1.62</cx:f>
              <cx:v>Electric boda</cx:v>
            </cx:txData>
          </cx:tx>
          <cx:dataId val="0"/>
          <cx:layoutPr>
            <cx:statistics quartileMethod="exclusive"/>
          </cx:layoutPr>
        </cx:series>
        <cx:series layoutId="boxWhisker" uniqueId="{15694664-EFFE-4097-AF4E-A6516239C1EB}" formatIdx="1">
          <cx:tx>
            <cx:txData>
              <cx:f>_xlchart.v1.63</cx:f>
              <cx:v>ICE 150 cc</cx:v>
            </cx:txData>
          </cx:tx>
          <cx:dataId val="1"/>
          <cx:layoutPr>
            <cx:statistics quartileMethod="exclusive"/>
          </cx:layoutPr>
        </cx:series>
      </cx:plotAreaRegion>
      <cx:axis id="0" hidden="1">
        <cx:catScaling gapWidth="1"/>
        <cx:tickLabels/>
      </cx:axis>
      <cx:axis id="1">
        <cx:valScaling/>
        <cx:title>
          <cx:tx>
            <cx:txData>
              <cx:v>%</cx:v>
            </cx:txData>
          </cx:tx>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r>
                <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rPr>
                <a:t>%</a:t>
              </a:r>
            </a:p>
          </cx:txPr>
        </cx:title>
        <cx:majorGridlines/>
        <cx:tickLabels/>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17.xml><?xml version="1.0" encoding="utf-8"?>
<cx:chartSpace xmlns:a="http://schemas.openxmlformats.org/drawingml/2006/main" xmlns:r="http://schemas.openxmlformats.org/officeDocument/2006/relationships" xmlns:cx="http://schemas.microsoft.com/office/drawing/2014/chartex">
  <cx:chartData>
    <cx:data id="0">
      <cx:numDim type="val">
        <cx:f>_xlchart.v1.67</cx:f>
      </cx:numDim>
    </cx:data>
    <cx:data id="1">
      <cx:numDim type="val">
        <cx:f>_xlchart.v1.69</cx:f>
      </cx:numDim>
    </cx:data>
  </cx:chartData>
  <cx:chart>
    <cx:plotArea>
      <cx:plotAreaRegion>
        <cx:series layoutId="boxWhisker" uniqueId="{46D9054A-FE44-4E66-B3DF-4DD1F0BC34F3}" formatIdx="0">
          <cx:tx>
            <cx:txData>
              <cx:f>_xlchart.v1.66</cx:f>
              <cx:v>Electric boda</cx:v>
            </cx:txData>
          </cx:tx>
          <cx:dataId val="0"/>
          <cx:layoutPr>
            <cx:statistics quartileMethod="exclusive"/>
          </cx:layoutPr>
        </cx:series>
        <cx:series layoutId="boxWhisker" uniqueId="{E696D3AF-ABA9-4719-B0F7-8EEBF7103BBC}" formatIdx="1">
          <cx:tx>
            <cx:txData>
              <cx:f>_xlchart.v1.68</cx:f>
              <cx:v>ICE 150 cc</cx:v>
            </cx:txData>
          </cx:tx>
          <cx:dataId val="1"/>
          <cx:layoutPr>
            <cx:statistics quartileMethod="exclusive"/>
          </cx:layoutPr>
        </cx:series>
      </cx:plotAreaRegion>
      <cx:axis id="0" hidden="1">
        <cx:catScaling gapWidth="1"/>
        <cx:tickLabels/>
      </cx:axis>
      <cx:axis id="1">
        <cx:valScaling/>
        <cx:title>
          <cx:tx>
            <cx:txData>
              <cx:v>%</cx:v>
            </cx:txData>
          </cx:tx>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r>
                <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rPr>
                <a:t>%</a:t>
              </a:r>
            </a:p>
          </cx:txPr>
        </cx:title>
        <cx:majorGridlines/>
        <cx:tickLabels/>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18.xml><?xml version="1.0" encoding="utf-8"?>
<cx:chartSpace xmlns:a="http://schemas.openxmlformats.org/drawingml/2006/main" xmlns:r="http://schemas.openxmlformats.org/officeDocument/2006/relationships" xmlns:cx="http://schemas.microsoft.com/office/drawing/2014/chartex">
  <cx:chartData>
    <cx:data id="0">
      <cx:numDim type="val">
        <cx:f>_xlchart.v1.72</cx:f>
      </cx:numDim>
    </cx:data>
    <cx:data id="1">
      <cx:numDim type="val">
        <cx:f>_xlchart.v1.73</cx:f>
      </cx:numDim>
    </cx:data>
  </cx:chartData>
  <cx:chart>
    <cx:plotArea>
      <cx:plotAreaRegion>
        <cx:series layoutId="boxWhisker" uniqueId="{46D9054A-FE44-4E66-B3DF-4DD1F0BC34F3}" formatIdx="0">
          <cx:tx>
            <cx:txData>
              <cx:f>_xlchart.v1.71</cx:f>
              <cx:v>Electric boda</cx:v>
            </cx:txData>
          </cx:tx>
          <cx:dataId val="0"/>
          <cx:layoutPr>
            <cx:statistics quartileMethod="exclusive"/>
          </cx:layoutPr>
        </cx:series>
        <cx:series layoutId="boxWhisker" uniqueId="{E696D3AF-ABA9-4719-B0F7-8EEBF7103BBC}" formatIdx="1">
          <cx:tx>
            <cx:txData>
              <cx:f>_xlchart.v1.70</cx:f>
              <cx:v>ICE 150 cc</cx:v>
            </cx:txData>
          </cx:tx>
          <cx:dataId val="1"/>
          <cx:layoutPr>
            <cx:statistics quartileMethod="exclusive"/>
          </cx:layoutPr>
        </cx:series>
      </cx:plotAreaRegion>
      <cx:axis id="0" hidden="1">
        <cx:catScaling gapWidth="1"/>
        <cx:tickLabels/>
      </cx:axis>
      <cx:axis id="1">
        <cx:valScaling/>
        <cx:title>
          <cx:tx>
            <cx:txData>
              <cx:v>%</cx:v>
            </cx:txData>
          </cx:tx>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r>
                <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rPr>
                <a:t>%</a:t>
              </a:r>
            </a:p>
          </cx:txPr>
        </cx:title>
        <cx:majorGridlines/>
        <cx:tickLabels/>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19.xml><?xml version="1.0" encoding="utf-8"?>
<cx:chartSpace xmlns:a="http://schemas.openxmlformats.org/drawingml/2006/main" xmlns:r="http://schemas.openxmlformats.org/officeDocument/2006/relationships" xmlns:cx="http://schemas.microsoft.com/office/drawing/2014/chartex">
  <cx:chart>
    <cx:plotArea>
      <cx:plotAreaRegion/>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20.xml><?xml version="1.0" encoding="utf-8"?>
<cx:chartSpace xmlns:a="http://schemas.openxmlformats.org/drawingml/2006/main" xmlns:r="http://schemas.openxmlformats.org/officeDocument/2006/relationships" xmlns:cx="http://schemas.microsoft.com/office/drawing/2014/chartex">
  <cx:chart>
    <cx:plotArea>
      <cx:plotAreaRegion/>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microsoft.com/office/2014/relationships/chartEx" Target="../charts/chartEx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microsoft.com/office/2014/relationships/chartEx" Target="../charts/chartEx2.xml"/></Relationships>
</file>

<file path=xl/drawings/_rels/drawing7.xml.rels><?xml version="1.0" encoding="UTF-8" standalone="yes"?>
<Relationships xmlns="http://schemas.openxmlformats.org/package/2006/relationships"><Relationship Id="rId2" Type="http://schemas.openxmlformats.org/officeDocument/2006/relationships/image" Target="../media/image4.png"/><Relationship Id="rId1" Type="http://schemas.microsoft.com/office/2014/relationships/chartEx" Target="../charts/chartEx3.xml"/></Relationships>
</file>

<file path=xl/drawings/_rels/drawing8.xml.rels><?xml version="1.0" encoding="UTF-8" standalone="yes"?>
<Relationships xmlns="http://schemas.openxmlformats.org/package/2006/relationships"><Relationship Id="rId1" Type="http://schemas.microsoft.com/office/2014/relationships/chartEx" Target="../charts/chartEx4.xml"/></Relationships>
</file>

<file path=xl/drawings/_rels/drawing9.xml.rels><?xml version="1.0" encoding="UTF-8" standalone="yes"?>
<Relationships xmlns="http://schemas.openxmlformats.org/package/2006/relationships"><Relationship Id="rId1" Type="http://schemas.microsoft.com/office/2014/relationships/chartEx" Target="../charts/chartEx5.xml"/></Relationships>
</file>

<file path=xl/drawings/_rels/drawing10.xml.rels><?xml version="1.0" encoding="UTF-8" standalone="yes"?>
<Relationships xmlns="http://schemas.openxmlformats.org/package/2006/relationships"><Relationship Id="rId1" Type="http://schemas.microsoft.com/office/2014/relationships/chartEx" Target="../charts/chartEx6.xml"/></Relationships>
</file>

<file path=xl/drawings/_rels/drawing11.xml.rels><?xml version="1.0" encoding="UTF-8" standalone="yes"?>
<Relationships xmlns="http://schemas.openxmlformats.org/package/2006/relationships"><Relationship Id="rId1" Type="http://schemas.microsoft.com/office/2014/relationships/chartEx" Target="../charts/chartEx7.xml"/></Relationships>
</file>

<file path=xl/drawings/_rels/drawing12.xml.rels><?xml version="1.0" encoding="UTF-8" standalone="yes"?>
<Relationships xmlns="http://schemas.openxmlformats.org/package/2006/relationships"><Relationship Id="rId1" Type="http://schemas.microsoft.com/office/2014/relationships/chartEx" Target="../charts/chartEx8.xml"/></Relationships>
</file>

<file path=xl/drawings/_rels/drawing13.xml.rels><?xml version="1.0" encoding="UTF-8" standalone="yes"?>
<Relationships xmlns="http://schemas.openxmlformats.org/package/2006/relationships"><Relationship Id="rId1" Type="http://schemas.microsoft.com/office/2014/relationships/chartEx" Target="../charts/chartEx9.xml"/></Relationships>
</file>

<file path=xl/drawings/_rels/drawing14.xml.rels><?xml version="1.0" encoding="UTF-8" standalone="yes"?>
<Relationships xmlns="http://schemas.openxmlformats.org/package/2006/relationships"><Relationship Id="rId1" Type="http://schemas.microsoft.com/office/2014/relationships/chartEx" Target="../charts/chartEx10.xml"/></Relationships>
</file>

<file path=xl/drawings/_rels/drawing15.xml.rels><?xml version="1.0" encoding="UTF-8" standalone="yes"?>
<Relationships xmlns="http://schemas.openxmlformats.org/package/2006/relationships"><Relationship Id="rId1" Type="http://schemas.microsoft.com/office/2014/relationships/chartEx" Target="../charts/chartEx11.xml"/></Relationships>
</file>

<file path=xl/drawings/_rels/drawing16.xml.rels><?xml version="1.0" encoding="UTF-8" standalone="yes"?>
<Relationships xmlns="http://schemas.openxmlformats.org/package/2006/relationships"><Relationship Id="rId1" Type="http://schemas.microsoft.com/office/2014/relationships/chartEx" Target="../charts/chartEx12.xml"/></Relationships>
</file>

<file path=xl/drawings/_rels/drawing17.xml.rels><?xml version="1.0" encoding="UTF-8" standalone="yes"?>
<Relationships xmlns="http://schemas.openxmlformats.org/package/2006/relationships"><Relationship Id="rId1" Type="http://schemas.microsoft.com/office/2014/relationships/chartEx" Target="../charts/chartEx13.xml"/></Relationships>
</file>

<file path=xl/drawings/_rels/drawing18.xml.rels><?xml version="1.0" encoding="UTF-8" standalone="yes"?>
<Relationships xmlns="http://schemas.openxmlformats.org/package/2006/relationships"><Relationship Id="rId1" Type="http://schemas.microsoft.com/office/2014/relationships/chartEx" Target="../charts/chartEx14.xml"/></Relationships>
</file>

<file path=xl/drawings/_rels/drawing19.xml.rels><?xml version="1.0" encoding="UTF-8" standalone="yes"?>
<Relationships xmlns="http://schemas.openxmlformats.org/package/2006/relationships"><Relationship Id="rId1" Type="http://schemas.microsoft.com/office/2014/relationships/chartEx" Target="../charts/chartEx15.xml"/></Relationships>
</file>

<file path=xl/drawings/_rels/drawing20.xml.rels><?xml version="1.0" encoding="UTF-8" standalone="yes"?>
<Relationships xmlns="http://schemas.openxmlformats.org/package/2006/relationships"><Relationship Id="rId1" Type="http://schemas.microsoft.com/office/2014/relationships/chartEx" Target="../charts/chartEx16.xml"/></Relationships>
</file>

<file path=xl/drawings/_rels/drawing21.xml.rels><?xml version="1.0" encoding="UTF-8" standalone="yes"?>
<Relationships xmlns="http://schemas.openxmlformats.org/package/2006/relationships"><Relationship Id="rId1" Type="http://schemas.microsoft.com/office/2014/relationships/chartEx" Target="../charts/chartEx17.xml"/></Relationships>
</file>

<file path=xl/drawings/_rels/drawing22.xml.rels><?xml version="1.0" encoding="UTF-8" standalone="yes"?>
<Relationships xmlns="http://schemas.openxmlformats.org/package/2006/relationships"><Relationship Id="rId1" Type="http://schemas.microsoft.com/office/2014/relationships/chartEx" Target="../charts/chartEx18.xml"/></Relationships>
</file>

<file path=xl/drawings/_rels/drawing23.xml.rels><?xml version="1.0" encoding="UTF-8" standalone="yes"?>
<Relationships xmlns="http://schemas.openxmlformats.org/package/2006/relationships"><Relationship Id="rId1" Type="http://schemas.microsoft.com/office/2014/relationships/chartEx" Target="../charts/chartEx19.xml"/></Relationships>
</file>

<file path=xl/drawings/_rels/drawing24.xml.rels><?xml version="1.0" encoding="UTF-8" standalone="yes"?>
<Relationships xmlns="http://schemas.openxmlformats.org/package/2006/relationships"><Relationship Id="rId1" Type="http://schemas.microsoft.com/office/2014/relationships/chartEx" Target="../charts/chartEx20.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1</xdr:col>
      <xdr:colOff>3078514</xdr:colOff>
      <xdr:row>3</xdr:row>
      <xdr:rowOff>171450</xdr:rowOff>
    </xdr:to>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38100"/>
          <a:ext cx="3837339" cy="676275"/>
        </a:xfrm>
        <a:prstGeom prst="rect">
          <a:avLst/>
        </a:prstGeom>
      </xdr:spPr>
    </xdr:pic>
    <xdr:clientData/>
  </xdr:twoCellAnchor>
  <xdr:twoCellAnchor editAs="oneCell">
    <xdr:from>
      <xdr:col>1</xdr:col>
      <xdr:colOff>57150</xdr:colOff>
      <xdr:row>12</xdr:row>
      <xdr:rowOff>179714</xdr:rowOff>
    </xdr:from>
    <xdr:to>
      <xdr:col>1</xdr:col>
      <xdr:colOff>3343275</xdr:colOff>
      <xdr:row>15</xdr:row>
      <xdr:rowOff>47625</xdr:rowOff>
    </xdr:to>
    <xdr:pic>
      <xdr:nvPicPr>
        <xdr:cNvPr id="3" name="Grafik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819150" y="8098164"/>
          <a:ext cx="3282950" cy="575936"/>
        </a:xfrm>
        <a:prstGeom prst="rect">
          <a:avLst/>
        </a:prstGeom>
      </xdr:spPr>
    </xdr:pic>
    <xdr:clientData/>
  </xdr:twoCellAnchor>
  <xdr:twoCellAnchor editAs="oneCell">
    <xdr:from>
      <xdr:col>2</xdr:col>
      <xdr:colOff>628650</xdr:colOff>
      <xdr:row>9</xdr:row>
      <xdr:rowOff>321027</xdr:rowOff>
    </xdr:from>
    <xdr:to>
      <xdr:col>2</xdr:col>
      <xdr:colOff>1590675</xdr:colOff>
      <xdr:row>9</xdr:row>
      <xdr:rowOff>798566</xdr:rowOff>
    </xdr:to>
    <xdr:pic>
      <xdr:nvPicPr>
        <xdr:cNvPr id="4" name="Grafik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4876800" y="4842227"/>
          <a:ext cx="958850" cy="477539"/>
        </a:xfrm>
        <a:prstGeom prst="rect">
          <a:avLst/>
        </a:prstGeom>
      </xdr:spPr>
    </xdr:pic>
    <xdr:clientData/>
  </xdr:twoCellAnchor>
  <xdr:twoCellAnchor editAs="oneCell">
    <xdr:from>
      <xdr:col>3</xdr:col>
      <xdr:colOff>30323</xdr:colOff>
      <xdr:row>10</xdr:row>
      <xdr:rowOff>266699</xdr:rowOff>
    </xdr:from>
    <xdr:to>
      <xdr:col>3</xdr:col>
      <xdr:colOff>654085</xdr:colOff>
      <xdr:row>11</xdr:row>
      <xdr:rowOff>134951</xdr:rowOff>
    </xdr:to>
    <xdr:pic>
      <xdr:nvPicPr>
        <xdr:cNvPr id="6" name="Grafik 5" descr="Pfeil nach unten - Kostenlose pfeile Icons">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rot="16200000">
          <a:off x="9293316" y="8332856"/>
          <a:ext cx="598502" cy="6205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152400</xdr:colOff>
      <xdr:row>9</xdr:row>
      <xdr:rowOff>177800</xdr:rowOff>
    </xdr:from>
    <xdr:to>
      <xdr:col>11</xdr:col>
      <xdr:colOff>637617</xdr:colOff>
      <xdr:row>9</xdr:row>
      <xdr:rowOff>2692400</xdr:rowOff>
    </xdr:to>
    <xdr:graphicFrame macro="">
      <xdr:nvGraphicFramePr>
        <xdr:cNvPr id="7" name="Diagramm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730250</xdr:colOff>
      <xdr:row>11</xdr:row>
      <xdr:rowOff>782536</xdr:rowOff>
    </xdr:from>
    <xdr:to>
      <xdr:col>5</xdr:col>
      <xdr:colOff>1047750</xdr:colOff>
      <xdr:row>11</xdr:row>
      <xdr:rowOff>1037104</xdr:rowOff>
    </xdr:to>
    <xdr:pic>
      <xdr:nvPicPr>
        <xdr:cNvPr id="2" name="Grafik 1" descr="Pfeil nach unten - Kostenlose pfeile Icons">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702550" y="2846286"/>
          <a:ext cx="317500" cy="254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24</xdr:row>
          <xdr:rowOff>241300</xdr:rowOff>
        </xdr:from>
        <xdr:to>
          <xdr:col>1</xdr:col>
          <xdr:colOff>361950</xdr:colOff>
          <xdr:row>33</xdr:row>
          <xdr:rowOff>222250</xdr:rowOff>
        </xdr:to>
        <xdr:sp macro="" textlink="">
          <xdr:nvSpPr>
            <xdr:cNvPr id="72705" name="Button 1" hidden="1">
              <a:extLst>
                <a:ext uri="{63B3BB69-23CF-44E3-9099-C40C66FF867C}">
                  <a14:compatExt spid="_x0000_s72705"/>
                </a:ext>
                <a:ext uri="{FF2B5EF4-FFF2-40B4-BE49-F238E27FC236}">
                  <a16:creationId xmlns:a16="http://schemas.microsoft.com/office/drawing/2014/main" id="{00000000-0008-0000-0200-0000011C0100}"/>
                </a:ext>
              </a:extLst>
            </xdr:cNvPr>
            <xdr:cNvSpPr/>
          </xdr:nvSpPr>
          <xdr:spPr bwMode="auto">
            <a:xfrm>
              <a:off x="0" y="0"/>
              <a:ext cx="0" cy="0"/>
            </a:xfrm>
            <a:prstGeom prst="rect">
              <a:avLst/>
            </a:prstGeom>
            <a:noFill/>
            <a:ln w="9525">
              <a:miter lim="800000"/>
              <a:headEnd/>
              <a:tailEnd/>
            </a:ln>
          </xdr:spPr>
          <xdr:txBody>
            <a:bodyPr vertOverflow="clip" vert="vert270" wrap="square" lIns="36576" tIns="32004" rIns="36576" bIns="32004" anchor="ctr" upright="1"/>
            <a:lstStyle/>
            <a:p>
              <a:pPr algn="ctr" rtl="0">
                <a:defRPr sz="1000"/>
              </a:pPr>
              <a:r>
                <a:rPr lang="de-DE" sz="1100" b="0" i="0" u="none" strike="noStrike" baseline="0">
                  <a:solidFill>
                    <a:srgbClr val="FF0000"/>
                  </a:solidFill>
                  <a:latin typeface="Liberation Sans"/>
                </a:rPr>
                <a:t>RESET</a:t>
              </a:r>
            </a:p>
          </xdr:txBody>
        </xdr:sp>
        <xdr:clientData fPrintsWithSheet="0"/>
      </xdr:twoCellAnchor>
    </mc:Choice>
    <mc:Fallback/>
  </mc:AlternateContent>
  <xdr:twoCellAnchor editAs="oneCell">
    <xdr:from>
      <xdr:col>2</xdr:col>
      <xdr:colOff>1301663</xdr:colOff>
      <xdr:row>3</xdr:row>
      <xdr:rowOff>89646</xdr:rowOff>
    </xdr:from>
    <xdr:to>
      <xdr:col>2</xdr:col>
      <xdr:colOff>1530535</xdr:colOff>
      <xdr:row>3</xdr:row>
      <xdr:rowOff>322944</xdr:rowOff>
    </xdr:to>
    <xdr:pic>
      <xdr:nvPicPr>
        <xdr:cNvPr id="2" name="Grafik 1" descr="Pfeil nach unten - Kostenlose pfeile Icons">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rot="10800000">
          <a:off x="1923963" y="743696"/>
          <a:ext cx="225697" cy="240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2462533</xdr:colOff>
      <xdr:row>13</xdr:row>
      <xdr:rowOff>56028</xdr:rowOff>
    </xdr:from>
    <xdr:to>
      <xdr:col>2</xdr:col>
      <xdr:colOff>2674302</xdr:colOff>
      <xdr:row>13</xdr:row>
      <xdr:rowOff>259428</xdr:rowOff>
    </xdr:to>
    <xdr:pic>
      <xdr:nvPicPr>
        <xdr:cNvPr id="4" name="Grafik 3" descr="Pfeil nach unten - Kostenlose pfeile Icons">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rot="16200000">
          <a:off x="3083041" y="2643204"/>
          <a:ext cx="200225" cy="2085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2469029</xdr:colOff>
      <xdr:row>25</xdr:row>
      <xdr:rowOff>22039</xdr:rowOff>
    </xdr:from>
    <xdr:to>
      <xdr:col>3</xdr:col>
      <xdr:colOff>2670339</xdr:colOff>
      <xdr:row>25</xdr:row>
      <xdr:rowOff>225439</xdr:rowOff>
    </xdr:to>
    <xdr:pic>
      <xdr:nvPicPr>
        <xdr:cNvPr id="6" name="Grafik 5" descr="Pfeil nach unten - Kostenlose pfeile Icons">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rot="16200000">
          <a:off x="5764381" y="4850952"/>
          <a:ext cx="203400" cy="2013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140074</xdr:colOff>
      <xdr:row>34</xdr:row>
      <xdr:rowOff>93382</xdr:rowOff>
    </xdr:from>
    <xdr:to>
      <xdr:col>2</xdr:col>
      <xdr:colOff>92237</xdr:colOff>
      <xdr:row>37</xdr:row>
      <xdr:rowOff>269390</xdr:rowOff>
    </xdr:to>
    <xdr:pic>
      <xdr:nvPicPr>
        <xdr:cNvPr id="5" name="Grafik 4" descr="Pfeil nach unten - Kostenlose pfeile Icons">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rot="10800000">
          <a:off x="140074" y="5752353"/>
          <a:ext cx="559148" cy="6242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2446619</xdr:colOff>
      <xdr:row>15</xdr:row>
      <xdr:rowOff>186767</xdr:rowOff>
    </xdr:from>
    <xdr:to>
      <xdr:col>3</xdr:col>
      <xdr:colOff>2651104</xdr:colOff>
      <xdr:row>15</xdr:row>
      <xdr:rowOff>389233</xdr:rowOff>
    </xdr:to>
    <xdr:pic>
      <xdr:nvPicPr>
        <xdr:cNvPr id="8" name="Grafik 7" descr="Pfeil nach unten - Kostenlose pfeile Icons">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rot="16200000">
          <a:off x="5744026" y="4042448"/>
          <a:ext cx="202466" cy="204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2334560</xdr:colOff>
      <xdr:row>37</xdr:row>
      <xdr:rowOff>252132</xdr:rowOff>
    </xdr:from>
    <xdr:to>
      <xdr:col>7</xdr:col>
      <xdr:colOff>606988</xdr:colOff>
      <xdr:row>44</xdr:row>
      <xdr:rowOff>95997</xdr:rowOff>
    </xdr:to>
    <xdr:graphicFrame macro="">
      <xdr:nvGraphicFramePr>
        <xdr:cNvPr id="9" name="Diagramm 8">
          <a:extLst>
            <a:ext uri="{FF2B5EF4-FFF2-40B4-BE49-F238E27FC236}">
              <a16:creationId xmlns:a16="http://schemas.microsoft.com/office/drawing/2014/main" id="{00000000-0008-0000-02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11</xdr:col>
      <xdr:colOff>790139</xdr:colOff>
      <xdr:row>1</xdr:row>
      <xdr:rowOff>230872</xdr:rowOff>
    </xdr:from>
    <xdr:to>
      <xdr:col>18</xdr:col>
      <xdr:colOff>451426</xdr:colOff>
      <xdr:row>13</xdr:row>
      <xdr:rowOff>1209099</xdr:rowOff>
    </xdr:to>
    <mc:AlternateContent xmlns:mc="http://schemas.openxmlformats.org/markup-compatibility/2006">
      <mc:Choice xmlns:cx1="http://schemas.microsoft.com/office/drawing/2015/9/8/chartex" Requires="cx1">
        <xdr:graphicFrame macro="">
          <xdr:nvGraphicFramePr>
            <xdr:cNvPr id="2" name="Graphique 6">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9442014" y="926197"/>
              <a:ext cx="5322312" cy="3410277"/>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twoCellAnchor editAs="oneCell">
    <xdr:from>
      <xdr:col>10</xdr:col>
      <xdr:colOff>91748</xdr:colOff>
      <xdr:row>20</xdr:row>
      <xdr:rowOff>8843</xdr:rowOff>
    </xdr:from>
    <xdr:to>
      <xdr:col>10</xdr:col>
      <xdr:colOff>331956</xdr:colOff>
      <xdr:row>20</xdr:row>
      <xdr:rowOff>231365</xdr:rowOff>
    </xdr:to>
    <xdr:pic>
      <xdr:nvPicPr>
        <xdr:cNvPr id="3" name="Grafik 2" descr="Pfeil nach unten - Kostenlose pfeile Icons">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rot="5400000">
          <a:off x="7917441" y="5816600"/>
          <a:ext cx="222522" cy="240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91748</xdr:colOff>
      <xdr:row>20</xdr:row>
      <xdr:rowOff>8843</xdr:rowOff>
    </xdr:from>
    <xdr:to>
      <xdr:col>10</xdr:col>
      <xdr:colOff>335131</xdr:colOff>
      <xdr:row>20</xdr:row>
      <xdr:rowOff>231365</xdr:rowOff>
    </xdr:to>
    <xdr:pic>
      <xdr:nvPicPr>
        <xdr:cNvPr id="4" name="Grafik 3" descr="Pfeil nach unten - Kostenlose pfeile Icons">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rot="5400000">
          <a:off x="7919029" y="5815012"/>
          <a:ext cx="222522" cy="2433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66925</xdr:colOff>
      <xdr:row>29</xdr:row>
      <xdr:rowOff>22842</xdr:rowOff>
    </xdr:from>
    <xdr:to>
      <xdr:col>10</xdr:col>
      <xdr:colOff>313483</xdr:colOff>
      <xdr:row>30</xdr:row>
      <xdr:rowOff>65832</xdr:rowOff>
    </xdr:to>
    <xdr:pic>
      <xdr:nvPicPr>
        <xdr:cNvPr id="5" name="Grafik 4" descr="Pfeil nach unten - Kostenlose pfeile Icons">
          <a:extLst>
            <a:ext uri="{FF2B5EF4-FFF2-40B4-BE49-F238E27FC236}">
              <a16:creationId xmlns:a16="http://schemas.microsoft.com/office/drawing/2014/main" id="{00000000-0008-0000-03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rot="5400000">
          <a:off x="7899834" y="7601383"/>
          <a:ext cx="214440" cy="2465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779898</xdr:colOff>
      <xdr:row>19</xdr:row>
      <xdr:rowOff>34780</xdr:rowOff>
    </xdr:from>
    <xdr:to>
      <xdr:col>5</xdr:col>
      <xdr:colOff>13840</xdr:colOff>
      <xdr:row>20</xdr:row>
      <xdr:rowOff>76117</xdr:rowOff>
    </xdr:to>
    <xdr:pic>
      <xdr:nvPicPr>
        <xdr:cNvPr id="6" name="Grafik 5" descr="Pfeil nach unten - Kostenlose pfeile Icons">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589648" y="5648180"/>
          <a:ext cx="218192" cy="2445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15</xdr:col>
      <xdr:colOff>280988</xdr:colOff>
      <xdr:row>0</xdr:row>
      <xdr:rowOff>476250</xdr:rowOff>
    </xdr:from>
    <xdr:ext cx="281851" cy="304252"/>
    <xdr:pic>
      <xdr:nvPicPr>
        <xdr:cNvPr id="7" name="Grafik 6" descr="Pfeil nach unten - Kostenlose pfeile Icons">
          <a:extLst>
            <a:ext uri="{FF2B5EF4-FFF2-40B4-BE49-F238E27FC236}">
              <a16:creationId xmlns:a16="http://schemas.microsoft.com/office/drawing/2014/main" id="{00000000-0008-0000-0300-000007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130088" y="476250"/>
          <a:ext cx="281851" cy="304252"/>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5.xml><?xml version="1.0" encoding="utf-8"?>
<xdr:wsDr xmlns:xdr="http://schemas.openxmlformats.org/drawingml/2006/spreadsheetDrawing" xmlns:a="http://schemas.openxmlformats.org/drawingml/2006/main">
  <xdr:twoCellAnchor>
    <xdr:from>
      <xdr:col>3</xdr:col>
      <xdr:colOff>647700</xdr:colOff>
      <xdr:row>53</xdr:row>
      <xdr:rowOff>25400</xdr:rowOff>
    </xdr:from>
    <xdr:to>
      <xdr:col>9</xdr:col>
      <xdr:colOff>704850</xdr:colOff>
      <xdr:row>69</xdr:row>
      <xdr:rowOff>139700</xdr:rowOff>
    </xdr:to>
    <xdr:graphicFrame macro="">
      <xdr:nvGraphicFramePr>
        <xdr:cNvPr id="4" name="Graphique 9">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9</xdr:col>
      <xdr:colOff>564138</xdr:colOff>
      <xdr:row>8</xdr:row>
      <xdr:rowOff>25218</xdr:rowOff>
    </xdr:from>
    <xdr:to>
      <xdr:col>15</xdr:col>
      <xdr:colOff>497899</xdr:colOff>
      <xdr:row>18</xdr:row>
      <xdr:rowOff>148359</xdr:rowOff>
    </xdr:to>
    <mc:AlternateContent xmlns:mc="http://schemas.openxmlformats.org/markup-compatibility/2006">
      <mc:Choice xmlns:cx1="http://schemas.microsoft.com/office/drawing/2015/9/8/chartex" Requires="cx1">
        <xdr:graphicFrame macro="">
          <xdr:nvGraphicFramePr>
            <xdr:cNvPr id="7" name="Graphique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971163" y="2809693"/>
              <a:ext cx="4794686" cy="4498291"/>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12</xdr:col>
      <xdr:colOff>552016</xdr:colOff>
      <xdr:row>8</xdr:row>
      <xdr:rowOff>125809</xdr:rowOff>
    </xdr:from>
    <xdr:to>
      <xdr:col>17</xdr:col>
      <xdr:colOff>714375</xdr:colOff>
      <xdr:row>14</xdr:row>
      <xdr:rowOff>43296</xdr:rowOff>
    </xdr:to>
    <mc:AlternateContent xmlns:mc="http://schemas.openxmlformats.org/markup-compatibility/2006">
      <mc:Choice xmlns:cx1="http://schemas.microsoft.com/office/drawing/2015/9/8/chartex" Requires="cx1">
        <xdr:graphicFrame macro="">
          <xdr:nvGraphicFramePr>
            <xdr:cNvPr id="2" name="Graphique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8391091" y="1865709"/>
              <a:ext cx="4207309" cy="2848012"/>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twoCellAnchor editAs="oneCell">
    <xdr:from>
      <xdr:col>5</xdr:col>
      <xdr:colOff>737322</xdr:colOff>
      <xdr:row>13</xdr:row>
      <xdr:rowOff>209286</xdr:rowOff>
    </xdr:from>
    <xdr:to>
      <xdr:col>8</xdr:col>
      <xdr:colOff>150234</xdr:colOff>
      <xdr:row>13</xdr:row>
      <xdr:rowOff>582778</xdr:rowOff>
    </xdr:to>
    <xdr:pic>
      <xdr:nvPicPr>
        <xdr:cNvPr id="3" name="Grafik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2"/>
        <a:stretch>
          <a:fillRect/>
        </a:stretch>
      </xdr:blipFill>
      <xdr:spPr>
        <a:xfrm>
          <a:off x="3410816" y="3781161"/>
          <a:ext cx="1123083" cy="37666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8</xdr:col>
      <xdr:colOff>616960</xdr:colOff>
      <xdr:row>3</xdr:row>
      <xdr:rowOff>240614</xdr:rowOff>
    </xdr:from>
    <xdr:to>
      <xdr:col>13</xdr:col>
      <xdr:colOff>354011</xdr:colOff>
      <xdr:row>14</xdr:row>
      <xdr:rowOff>476249</xdr:rowOff>
    </xdr:to>
    <mc:AlternateContent xmlns:mc="http://schemas.openxmlformats.org/markup-compatibility/2006">
      <mc:Choice xmlns:cx1="http://schemas.microsoft.com/office/drawing/2015/9/8/chartex" Requires="cx1">
        <xdr:graphicFrame macro="">
          <xdr:nvGraphicFramePr>
            <xdr:cNvPr id="2" name="Graphique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658860" y="951814"/>
              <a:ext cx="3778826" cy="4191685"/>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12</xdr:col>
      <xdr:colOff>46470</xdr:colOff>
      <xdr:row>9</xdr:row>
      <xdr:rowOff>227301</xdr:rowOff>
    </xdr:from>
    <xdr:to>
      <xdr:col>17</xdr:col>
      <xdr:colOff>573665</xdr:colOff>
      <xdr:row>17</xdr:row>
      <xdr:rowOff>76452</xdr:rowOff>
    </xdr:to>
    <mc:AlternateContent xmlns:mc="http://schemas.openxmlformats.org/markup-compatibility/2006">
      <mc:Choice xmlns:cx1="http://schemas.microsoft.com/office/drawing/2015/9/8/chartex" Requires="cx1">
        <xdr:graphicFrame macro="">
          <xdr:nvGraphicFramePr>
            <xdr:cNvPr id="2" name="Graphique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888720" y="2589501"/>
              <a:ext cx="4572145" cy="3621051"/>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9</xdr:col>
      <xdr:colOff>184004</xdr:colOff>
      <xdr:row>2</xdr:row>
      <xdr:rowOff>36042</xdr:rowOff>
    </xdr:from>
    <xdr:to>
      <xdr:col>15</xdr:col>
      <xdr:colOff>444030</xdr:colOff>
      <xdr:row>19</xdr:row>
      <xdr:rowOff>33774</xdr:rowOff>
    </xdr:to>
    <mc:AlternateContent xmlns:mc="http://schemas.openxmlformats.org/markup-compatibility/2006">
      <mc:Choice xmlns:cx1="http://schemas.microsoft.com/office/drawing/2015/9/8/chartex" Requires="cx1">
        <xdr:graphicFrame macro="">
          <xdr:nvGraphicFramePr>
            <xdr:cNvPr id="2" name="Graphique 6">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591029" y="1036167"/>
              <a:ext cx="5124126" cy="5014232"/>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11.xml><?xml version="1.0" encoding="utf-8"?>
<xdr:wsDr xmlns:xdr="http://schemas.openxmlformats.org/drawingml/2006/spreadsheetDrawing" xmlns:a="http://schemas.openxmlformats.org/drawingml/2006/main">
  <xdr:twoCellAnchor>
    <xdr:from>
      <xdr:col>9</xdr:col>
      <xdr:colOff>256597</xdr:colOff>
      <xdr:row>5</xdr:row>
      <xdr:rowOff>245775</xdr:rowOff>
    </xdr:from>
    <xdr:to>
      <xdr:col>15</xdr:col>
      <xdr:colOff>695902</xdr:colOff>
      <xdr:row>13</xdr:row>
      <xdr:rowOff>205654</xdr:rowOff>
    </xdr:to>
    <mc:AlternateContent xmlns:mc="http://schemas.openxmlformats.org/markup-compatibility/2006">
      <mc:Choice xmlns:cx1="http://schemas.microsoft.com/office/drawing/2015/9/8/chartex" Requires="cx1">
        <xdr:graphicFrame macro="">
          <xdr:nvGraphicFramePr>
            <xdr:cNvPr id="2" name="Graphique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632122" y="1426875"/>
              <a:ext cx="5290705" cy="2614179"/>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12.xml><?xml version="1.0" encoding="utf-8"?>
<xdr:wsDr xmlns:xdr="http://schemas.openxmlformats.org/drawingml/2006/spreadsheetDrawing" xmlns:a="http://schemas.openxmlformats.org/drawingml/2006/main">
  <xdr:twoCellAnchor>
    <xdr:from>
      <xdr:col>9</xdr:col>
      <xdr:colOff>411307</xdr:colOff>
      <xdr:row>9</xdr:row>
      <xdr:rowOff>47481</xdr:rowOff>
    </xdr:from>
    <xdr:to>
      <xdr:col>14</xdr:col>
      <xdr:colOff>54120</xdr:colOff>
      <xdr:row>19</xdr:row>
      <xdr:rowOff>145185</xdr:rowOff>
    </xdr:to>
    <mc:AlternateContent xmlns:mc="http://schemas.openxmlformats.org/markup-compatibility/2006">
      <mc:Choice xmlns:cx1="http://schemas.microsoft.com/office/drawing/2015/9/8/chartex" Requires="cx1">
        <xdr:graphicFrame macro="">
          <xdr:nvGraphicFramePr>
            <xdr:cNvPr id="2" name="Graphique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818332" y="1774681"/>
              <a:ext cx="5770563" cy="4730029"/>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13.xml><?xml version="1.0" encoding="utf-8"?>
<xdr:wsDr xmlns:xdr="http://schemas.openxmlformats.org/drawingml/2006/spreadsheetDrawing" xmlns:a="http://schemas.openxmlformats.org/drawingml/2006/main">
  <xdr:twoCellAnchor>
    <xdr:from>
      <xdr:col>9</xdr:col>
      <xdr:colOff>429779</xdr:colOff>
      <xdr:row>10</xdr:row>
      <xdr:rowOff>29297</xdr:rowOff>
    </xdr:from>
    <xdr:to>
      <xdr:col>15</xdr:col>
      <xdr:colOff>281421</xdr:colOff>
      <xdr:row>15</xdr:row>
      <xdr:rowOff>378835</xdr:rowOff>
    </xdr:to>
    <mc:AlternateContent xmlns:mc="http://schemas.openxmlformats.org/markup-compatibility/2006">
      <mc:Choice xmlns:cx1="http://schemas.microsoft.com/office/drawing/2015/9/8/chartex" Requires="cx1">
        <xdr:graphicFrame macro="">
          <xdr:nvGraphicFramePr>
            <xdr:cNvPr id="2" name="Graphique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532254" y="2769322"/>
              <a:ext cx="4709392" cy="4067463"/>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14.xml><?xml version="1.0" encoding="utf-8"?>
<xdr:wsDr xmlns:xdr="http://schemas.openxmlformats.org/drawingml/2006/spreadsheetDrawing" xmlns:a="http://schemas.openxmlformats.org/drawingml/2006/main">
  <xdr:twoCellAnchor>
    <xdr:from>
      <xdr:col>10</xdr:col>
      <xdr:colOff>487074</xdr:colOff>
      <xdr:row>3</xdr:row>
      <xdr:rowOff>119886</xdr:rowOff>
    </xdr:from>
    <xdr:to>
      <xdr:col>17</xdr:col>
      <xdr:colOff>1</xdr:colOff>
      <xdr:row>13</xdr:row>
      <xdr:rowOff>1223098</xdr:rowOff>
    </xdr:to>
    <mc:AlternateContent xmlns:mc="http://schemas.openxmlformats.org/markup-compatibility/2006">
      <mc:Choice xmlns:cx1="http://schemas.microsoft.com/office/drawing/2015/9/8/chartex" Requires="cx1">
        <xdr:graphicFrame macro="">
          <xdr:nvGraphicFramePr>
            <xdr:cNvPr id="3" name="Graphique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522874" y="837436"/>
              <a:ext cx="5183477" cy="3598762"/>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15.xml><?xml version="1.0" encoding="utf-8"?>
<xdr:wsDr xmlns:xdr="http://schemas.openxmlformats.org/drawingml/2006/spreadsheetDrawing" xmlns:a="http://schemas.openxmlformats.org/drawingml/2006/main">
  <xdr:twoCellAnchor>
    <xdr:from>
      <xdr:col>8</xdr:col>
      <xdr:colOff>108240</xdr:colOff>
      <xdr:row>0</xdr:row>
      <xdr:rowOff>48592</xdr:rowOff>
    </xdr:from>
    <xdr:to>
      <xdr:col>13</xdr:col>
      <xdr:colOff>630960</xdr:colOff>
      <xdr:row>13</xdr:row>
      <xdr:rowOff>974149</xdr:rowOff>
    </xdr:to>
    <mc:AlternateContent xmlns:mc="http://schemas.openxmlformats.org/markup-compatibility/2006">
      <mc:Choice xmlns:cx1="http://schemas.microsoft.com/office/drawing/2015/9/8/chartex" Requires="cx1">
        <xdr:graphicFrame macro="">
          <xdr:nvGraphicFramePr>
            <xdr:cNvPr id="2" name="Graphique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705640" y="45417"/>
              <a:ext cx="4574020" cy="4262482"/>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16.xml><?xml version="1.0" encoding="utf-8"?>
<xdr:wsDr xmlns:xdr="http://schemas.openxmlformats.org/drawingml/2006/spreadsheetDrawing" xmlns:a="http://schemas.openxmlformats.org/drawingml/2006/main">
  <xdr:twoCellAnchor>
    <xdr:from>
      <xdr:col>9</xdr:col>
      <xdr:colOff>86592</xdr:colOff>
      <xdr:row>4</xdr:row>
      <xdr:rowOff>60447</xdr:rowOff>
    </xdr:from>
    <xdr:to>
      <xdr:col>16</xdr:col>
      <xdr:colOff>238126</xdr:colOff>
      <xdr:row>14</xdr:row>
      <xdr:rowOff>548843</xdr:rowOff>
    </xdr:to>
    <mc:AlternateContent xmlns:mc="http://schemas.openxmlformats.org/markup-compatibility/2006">
      <mc:Choice xmlns:cx1="http://schemas.microsoft.com/office/drawing/2015/9/8/chartex" Requires="cx1">
        <xdr:graphicFrame macro="">
          <xdr:nvGraphicFramePr>
            <xdr:cNvPr id="2" name="Graphique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493617" y="1273297"/>
              <a:ext cx="5818909" cy="5577921"/>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17.xml><?xml version="1.0" encoding="utf-8"?>
<xdr:wsDr xmlns:xdr="http://schemas.openxmlformats.org/drawingml/2006/spreadsheetDrawing" xmlns:a="http://schemas.openxmlformats.org/drawingml/2006/main">
  <xdr:twoCellAnchor>
    <xdr:from>
      <xdr:col>9</xdr:col>
      <xdr:colOff>151533</xdr:colOff>
      <xdr:row>4</xdr:row>
      <xdr:rowOff>136214</xdr:rowOff>
    </xdr:from>
    <xdr:to>
      <xdr:col>15</xdr:col>
      <xdr:colOff>259772</xdr:colOff>
      <xdr:row>14</xdr:row>
      <xdr:rowOff>303068</xdr:rowOff>
    </xdr:to>
    <mc:AlternateContent xmlns:mc="http://schemas.openxmlformats.org/markup-compatibility/2006">
      <mc:Choice xmlns:cx1="http://schemas.microsoft.com/office/drawing/2015/9/8/chartex" Requires="cx1">
        <xdr:graphicFrame macro="">
          <xdr:nvGraphicFramePr>
            <xdr:cNvPr id="2" name="Graphique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561733" y="1622114"/>
              <a:ext cx="4962814" cy="4091154"/>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18.xml><?xml version="1.0" encoding="utf-8"?>
<xdr:wsDr xmlns:xdr="http://schemas.openxmlformats.org/drawingml/2006/spreadsheetDrawing" xmlns:a="http://schemas.openxmlformats.org/drawingml/2006/main">
  <xdr:twoCellAnchor>
    <xdr:from>
      <xdr:col>9</xdr:col>
      <xdr:colOff>256599</xdr:colOff>
      <xdr:row>2</xdr:row>
      <xdr:rowOff>46448</xdr:rowOff>
    </xdr:from>
    <xdr:to>
      <xdr:col>14</xdr:col>
      <xdr:colOff>21649</xdr:colOff>
      <xdr:row>13</xdr:row>
      <xdr:rowOff>573665</xdr:rowOff>
    </xdr:to>
    <mc:AlternateContent xmlns:mc="http://schemas.openxmlformats.org/markup-compatibility/2006">
      <mc:Choice xmlns:cx1="http://schemas.microsoft.com/office/drawing/2015/9/8/chartex" Requires="cx1">
        <xdr:graphicFrame macro="">
          <xdr:nvGraphicFramePr>
            <xdr:cNvPr id="2" name="Graphique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669974" y="602073"/>
              <a:ext cx="3810000" cy="3572042"/>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19.xml><?xml version="1.0" encoding="utf-8"?>
<xdr:wsDr xmlns:xdr="http://schemas.openxmlformats.org/drawingml/2006/spreadsheetDrawing" xmlns:a="http://schemas.openxmlformats.org/drawingml/2006/main">
  <xdr:twoCellAnchor>
    <xdr:from>
      <xdr:col>8</xdr:col>
      <xdr:colOff>354013</xdr:colOff>
      <xdr:row>4</xdr:row>
      <xdr:rowOff>25646</xdr:rowOff>
    </xdr:from>
    <xdr:to>
      <xdr:col>14</xdr:col>
      <xdr:colOff>541194</xdr:colOff>
      <xdr:row>13</xdr:row>
      <xdr:rowOff>357187</xdr:rowOff>
    </xdr:to>
    <mc:AlternateContent xmlns:mc="http://schemas.openxmlformats.org/markup-compatibility/2006">
      <mc:Choice xmlns:cx1="http://schemas.microsoft.com/office/drawing/2015/9/8/chartex" Requires="cx1">
        <xdr:graphicFrame macro="">
          <xdr:nvGraphicFramePr>
            <xdr:cNvPr id="2" name="Graphique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951413" y="1286121"/>
              <a:ext cx="5051281" cy="2811216"/>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20.xml><?xml version="1.0" encoding="utf-8"?>
<xdr:wsDr xmlns:xdr="http://schemas.openxmlformats.org/drawingml/2006/spreadsheetDrawing" xmlns:a="http://schemas.openxmlformats.org/drawingml/2006/main">
  <xdr:twoCellAnchor>
    <xdr:from>
      <xdr:col>11</xdr:col>
      <xdr:colOff>238124</xdr:colOff>
      <xdr:row>6</xdr:row>
      <xdr:rowOff>125413</xdr:rowOff>
    </xdr:from>
    <xdr:to>
      <xdr:col>17</xdr:col>
      <xdr:colOff>143884</xdr:colOff>
      <xdr:row>13</xdr:row>
      <xdr:rowOff>746846</xdr:rowOff>
    </xdr:to>
    <mc:AlternateContent xmlns:mc="http://schemas.openxmlformats.org/markup-compatibility/2006">
      <mc:Choice xmlns:cx1="http://schemas.microsoft.com/office/drawing/2015/9/8/chartex" Requires="cx1">
        <xdr:graphicFrame macro="">
          <xdr:nvGraphicFramePr>
            <xdr:cNvPr id="2" name="Graphique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461124" y="1579563"/>
              <a:ext cx="4757160" cy="3294783"/>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21.xml><?xml version="1.0" encoding="utf-8"?>
<xdr:wsDr xmlns:xdr="http://schemas.openxmlformats.org/drawingml/2006/spreadsheetDrawing" xmlns:a="http://schemas.openxmlformats.org/drawingml/2006/main">
  <xdr:twoCellAnchor>
    <xdr:from>
      <xdr:col>11</xdr:col>
      <xdr:colOff>123537</xdr:colOff>
      <xdr:row>2</xdr:row>
      <xdr:rowOff>104011</xdr:rowOff>
    </xdr:from>
    <xdr:to>
      <xdr:col>16</xdr:col>
      <xdr:colOff>248949</xdr:colOff>
      <xdr:row>14</xdr:row>
      <xdr:rowOff>151534</xdr:rowOff>
    </xdr:to>
    <mc:AlternateContent xmlns:mc="http://schemas.openxmlformats.org/markup-compatibility/2006">
      <mc:Choice xmlns:cx1="http://schemas.microsoft.com/office/drawing/2015/9/8/chartex" Requires="cx1">
        <xdr:graphicFrame macro="">
          <xdr:nvGraphicFramePr>
            <xdr:cNvPr id="2" name="Graphique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156162" y="659636"/>
              <a:ext cx="4722812" cy="3892448"/>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22.xml><?xml version="1.0" encoding="utf-8"?>
<xdr:wsDr xmlns:xdr="http://schemas.openxmlformats.org/drawingml/2006/spreadsheetDrawing" xmlns:a="http://schemas.openxmlformats.org/drawingml/2006/main">
  <xdr:twoCellAnchor>
    <xdr:from>
      <xdr:col>10</xdr:col>
      <xdr:colOff>757671</xdr:colOff>
      <xdr:row>13</xdr:row>
      <xdr:rowOff>0</xdr:rowOff>
    </xdr:from>
    <xdr:to>
      <xdr:col>16</xdr:col>
      <xdr:colOff>677429</xdr:colOff>
      <xdr:row>22</xdr:row>
      <xdr:rowOff>21647</xdr:rowOff>
    </xdr:to>
    <mc:AlternateContent xmlns:mc="http://schemas.openxmlformats.org/markup-compatibility/2006">
      <mc:Choice xmlns:cx1="http://schemas.microsoft.com/office/drawing/2015/9/8/chartex" Requires="cx1">
        <xdr:graphicFrame macro="">
          <xdr:nvGraphicFramePr>
            <xdr:cNvPr id="3" name="Graphique 1">
              <a:extLst>
                <a:ext uri="{FF2B5EF4-FFF2-40B4-BE49-F238E27FC236}">
                  <a16:creationId xmlns:a16="http://schemas.microsoft.com/office/drawing/2014/main" id="{00000000-0008-0000-16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974321" y="4419600"/>
              <a:ext cx="4777508" cy="4107872"/>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23.xml><?xml version="1.0" encoding="utf-8"?>
<xdr:wsDr xmlns:xdr="http://schemas.openxmlformats.org/drawingml/2006/spreadsheetDrawing" xmlns:a="http://schemas.openxmlformats.org/drawingml/2006/main">
  <xdr:twoCellAnchor>
    <xdr:from>
      <xdr:col>8</xdr:col>
      <xdr:colOff>0</xdr:colOff>
      <xdr:row>4</xdr:row>
      <xdr:rowOff>167655</xdr:rowOff>
    </xdr:from>
    <xdr:to>
      <xdr:col>8</xdr:col>
      <xdr:colOff>5912</xdr:colOff>
      <xdr:row>15</xdr:row>
      <xdr:rowOff>23898</xdr:rowOff>
    </xdr:to>
    <mc:AlternateContent xmlns:mc="http://schemas.openxmlformats.org/markup-compatibility/2006">
      <mc:Choice xmlns:cx1="http://schemas.microsoft.com/office/drawing/2015/9/8/chartex" Requires="cx1">
        <xdr:graphicFrame macro="">
          <xdr:nvGraphicFramePr>
            <xdr:cNvPr id="2" name="Graphique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953000" y="1202705"/>
              <a:ext cx="9087" cy="3424943"/>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24.xml><?xml version="1.0" encoding="utf-8"?>
<xdr:wsDr xmlns:xdr="http://schemas.openxmlformats.org/drawingml/2006/spreadsheetDrawing" xmlns:a="http://schemas.openxmlformats.org/drawingml/2006/main">
  <xdr:twoCellAnchor>
    <xdr:from>
      <xdr:col>8</xdr:col>
      <xdr:colOff>0</xdr:colOff>
      <xdr:row>4</xdr:row>
      <xdr:rowOff>167655</xdr:rowOff>
    </xdr:from>
    <xdr:to>
      <xdr:col>8</xdr:col>
      <xdr:colOff>5912</xdr:colOff>
      <xdr:row>15</xdr:row>
      <xdr:rowOff>23898</xdr:rowOff>
    </xdr:to>
    <mc:AlternateContent xmlns:mc="http://schemas.openxmlformats.org/markup-compatibility/2006">
      <mc:Choice xmlns:cx1="http://schemas.microsoft.com/office/drawing/2015/9/8/chartex" Requires="cx1">
        <xdr:graphicFrame macro="">
          <xdr:nvGraphicFramePr>
            <xdr:cNvPr id="2" name="Graphique 1">
              <a:extLst>
                <a:ext uri="{FF2B5EF4-FFF2-40B4-BE49-F238E27FC236}">
                  <a16:creationId xmlns:a16="http://schemas.microsoft.com/office/drawing/2014/main" id="{00000000-0008-0000-1A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524625" y="1202705"/>
              <a:ext cx="9087" cy="5139443"/>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mailto:projects@ceacc.tu-berlin.de"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4.xml"/><Relationship Id="rId1" Type="http://schemas.openxmlformats.org/officeDocument/2006/relationships/printerSettings" Target="../printerSettings/printerSettings14.bin"/><Relationship Id="rId4" Type="http://schemas.openxmlformats.org/officeDocument/2006/relationships/comments" Target="../comments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5.xml"/><Relationship Id="rId1" Type="http://schemas.openxmlformats.org/officeDocument/2006/relationships/printerSettings" Target="../printerSettings/printerSettings15.bin"/><Relationship Id="rId4" Type="http://schemas.openxmlformats.org/officeDocument/2006/relationships/comments" Target="../comments2.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80A84-5228-4246-8A86-A156FCDE64B1}">
  <sheetPr>
    <tabColor rgb="FFFFC000"/>
  </sheetPr>
  <dimension ref="B1:L16"/>
  <sheetViews>
    <sheetView showGridLines="0" tabSelected="1" workbookViewId="0">
      <selection activeCell="A5" sqref="A5"/>
    </sheetView>
  </sheetViews>
  <sheetFormatPr baseColWidth="10" defaultRowHeight="14.5"/>
  <cols>
    <col min="2" max="2" width="49.90625" customWidth="1"/>
    <col min="3" max="3" width="72.90625" customWidth="1"/>
    <col min="6" max="6" width="16.6328125" customWidth="1"/>
  </cols>
  <sheetData>
    <row r="1" spans="2:12">
      <c r="D1" s="242"/>
    </row>
    <row r="2" spans="2:12">
      <c r="D2" s="242"/>
    </row>
    <row r="5" spans="2:12" ht="28.5">
      <c r="B5" s="187" t="s">
        <v>283</v>
      </c>
    </row>
    <row r="7" spans="2:12">
      <c r="B7" s="188"/>
      <c r="C7" s="189" t="s">
        <v>284</v>
      </c>
    </row>
    <row r="8" spans="2:12" ht="103" customHeight="1" thickBot="1">
      <c r="B8" s="191" t="s">
        <v>285</v>
      </c>
      <c r="C8" s="190" t="s">
        <v>300</v>
      </c>
    </row>
    <row r="9" spans="2:12" ht="137.5">
      <c r="B9" s="191" t="s">
        <v>286</v>
      </c>
      <c r="C9" s="192" t="s">
        <v>301</v>
      </c>
      <c r="E9" s="244" t="s">
        <v>287</v>
      </c>
      <c r="F9" s="245"/>
      <c r="G9" s="245"/>
      <c r="H9" s="245"/>
      <c r="I9" s="245"/>
      <c r="J9" s="245"/>
      <c r="K9" s="245"/>
      <c r="L9" s="246"/>
    </row>
    <row r="10" spans="2:12" ht="287.5" customHeight="1" thickBot="1">
      <c r="B10" s="191" t="s">
        <v>288</v>
      </c>
      <c r="C10" s="192" t="s">
        <v>302</v>
      </c>
      <c r="E10" s="193"/>
      <c r="F10" s="247"/>
      <c r="G10" s="247"/>
      <c r="H10" s="247"/>
      <c r="L10" s="195"/>
    </row>
    <row r="11" spans="2:12" ht="58" customHeight="1" thickBot="1">
      <c r="B11" s="248" t="s">
        <v>287</v>
      </c>
      <c r="C11" s="250" t="s">
        <v>303</v>
      </c>
      <c r="E11" s="193"/>
      <c r="F11" s="252" t="s">
        <v>14</v>
      </c>
      <c r="G11" s="253"/>
      <c r="H11" s="254"/>
      <c r="I11" s="57" t="s">
        <v>125</v>
      </c>
      <c r="J11" s="58" t="s">
        <v>127</v>
      </c>
      <c r="K11" s="107" t="s">
        <v>126</v>
      </c>
      <c r="L11" s="195"/>
    </row>
    <row r="12" spans="2:12" ht="42" customHeight="1">
      <c r="B12" s="249"/>
      <c r="C12" s="251"/>
      <c r="E12" s="193"/>
      <c r="F12" s="255" t="str">
        <f>'1. Criteria'!C5</f>
        <v>Electric Boda</v>
      </c>
      <c r="G12" s="256"/>
      <c r="H12" s="256"/>
      <c r="I12" s="207">
        <f>Ranking_calc!E49</f>
        <v>1</v>
      </c>
      <c r="J12" s="181">
        <f>Ranking_calc!E51</f>
        <v>13</v>
      </c>
      <c r="K12" s="151">
        <f>Ranking_calc!E50</f>
        <v>5</v>
      </c>
      <c r="L12" s="195"/>
    </row>
    <row r="13" spans="2:12" ht="15" thickBot="1">
      <c r="B13" s="196"/>
      <c r="C13" s="196"/>
      <c r="E13" s="193"/>
      <c r="F13" s="257" t="str">
        <f>'1. Criteria'!C6</f>
        <v>ICE 150 CC</v>
      </c>
      <c r="G13" s="258"/>
      <c r="H13" s="258"/>
      <c r="I13" s="197">
        <f>Ranking_calc!F49</f>
        <v>2</v>
      </c>
      <c r="J13" s="56">
        <f>Ranking_calc!F51</f>
        <v>5</v>
      </c>
      <c r="K13" s="144">
        <f>Ranking_calc!F50</f>
        <v>13</v>
      </c>
      <c r="L13" s="195"/>
    </row>
    <row r="14" spans="2:12">
      <c r="B14" s="198"/>
      <c r="C14" s="199"/>
      <c r="E14" s="193"/>
      <c r="L14" s="195"/>
    </row>
    <row r="15" spans="2:12" ht="27" customHeight="1" thickBot="1">
      <c r="B15" s="243"/>
      <c r="C15" s="201" t="s">
        <v>361</v>
      </c>
      <c r="E15" s="202"/>
      <c r="F15" s="194"/>
      <c r="G15" s="194"/>
      <c r="H15" s="194"/>
      <c r="I15" s="194"/>
      <c r="J15" s="194"/>
      <c r="K15" s="194"/>
      <c r="L15" s="203"/>
    </row>
    <row r="16" spans="2:12">
      <c r="B16" s="243"/>
      <c r="C16" s="204" t="s">
        <v>289</v>
      </c>
    </row>
  </sheetData>
  <mergeCells count="8">
    <mergeCell ref="B15:B16"/>
    <mergeCell ref="E9:L9"/>
    <mergeCell ref="F10:H10"/>
    <mergeCell ref="B11:B12"/>
    <mergeCell ref="C11:C12"/>
    <mergeCell ref="F11:H11"/>
    <mergeCell ref="F12:H12"/>
    <mergeCell ref="F13:H13"/>
  </mergeCells>
  <conditionalFormatting sqref="I12:J13">
    <cfRule type="colorScale" priority="2">
      <colorScale>
        <cfvo type="num" val="1"/>
        <cfvo type="num" val="3"/>
        <cfvo type="num" val="4"/>
        <color theme="7"/>
        <color theme="7" tint="0.59999389629810485"/>
        <color theme="0" tint="-0.249977111117893"/>
      </colorScale>
    </cfRule>
  </conditionalFormatting>
  <conditionalFormatting sqref="J12:J13">
    <cfRule type="colorScale" priority="1">
      <colorScale>
        <cfvo type="num" val="0"/>
        <cfvo type="max"/>
        <color rgb="FFFCFCFF"/>
        <color rgb="FF63BE7B"/>
      </colorScale>
    </cfRule>
  </conditionalFormatting>
  <conditionalFormatting sqref="K12:K13">
    <cfRule type="colorScale" priority="3">
      <colorScale>
        <cfvo type="min"/>
        <cfvo type="max"/>
        <color rgb="FFFCFCFF"/>
        <color rgb="FFF8696B"/>
      </colorScale>
    </cfRule>
  </conditionalFormatting>
  <conditionalFormatting sqref="I12:I13 J12">
    <cfRule type="colorScale" priority="4">
      <colorScale>
        <cfvo type="min"/>
        <cfvo type="percentile" val="50"/>
        <cfvo type="max"/>
        <color rgb="FF63BE7B"/>
        <color rgb="FFFFEB84"/>
        <color rgb="FFF8696B"/>
      </colorScale>
    </cfRule>
  </conditionalFormatting>
  <conditionalFormatting sqref="I12:I13">
    <cfRule type="colorScale" priority="5">
      <colorScale>
        <cfvo type="min"/>
        <cfvo type="percentile" val="50"/>
        <cfvo type="max"/>
        <color rgb="FF63BE7B"/>
        <color rgb="FFFFEB84"/>
        <color rgb="FFF8696B"/>
      </colorScale>
    </cfRule>
  </conditionalFormatting>
  <conditionalFormatting sqref="K12:K13">
    <cfRule type="colorScale" priority="6">
      <colorScale>
        <cfvo type="min"/>
        <cfvo type="max"/>
        <color rgb="FFFCFCFF"/>
        <color rgb="FFF8696B"/>
      </colorScale>
    </cfRule>
  </conditionalFormatting>
  <hyperlinks>
    <hyperlink ref="C16" r:id="rId1" xr:uid="{5FE7C887-1FA7-44A3-B11F-153B7299ECD9}"/>
  </hyperlinks>
  <pageMargins left="0.7" right="0.7" top="0.78740157499999996" bottom="0.78740157499999996"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tabColor rgb="FF0070C0"/>
  </sheetPr>
  <dimension ref="B1:N34"/>
  <sheetViews>
    <sheetView showGridLines="0" zoomScaleNormal="100" workbookViewId="0">
      <selection activeCell="I48" sqref="I48"/>
    </sheetView>
  </sheetViews>
  <sheetFormatPr baseColWidth="10" defaultColWidth="11.54296875" defaultRowHeight="12.5"/>
  <cols>
    <col min="1" max="1" width="2.7265625" style="21" customWidth="1"/>
    <col min="2" max="2" width="11.54296875" style="21"/>
    <col min="3" max="3" width="38.81640625" style="21" customWidth="1"/>
    <col min="4" max="4" width="18.1796875" style="21" customWidth="1"/>
    <col min="5" max="5" width="28.54296875" style="21" customWidth="1"/>
    <col min="6" max="6" width="20.08984375" style="21" customWidth="1"/>
    <col min="7" max="16384" width="11.54296875" style="21"/>
  </cols>
  <sheetData>
    <row r="1" spans="2:14" ht="13" thickBot="1"/>
    <row r="2" spans="2:14" ht="19.899999999999999" customHeight="1" thickBot="1">
      <c r="B2" s="259" t="s">
        <v>204</v>
      </c>
      <c r="C2" s="260"/>
      <c r="D2" s="260"/>
      <c r="E2" s="261"/>
      <c r="F2" s="149"/>
    </row>
    <row r="3" spans="2:14" ht="13" thickBot="1"/>
    <row r="4" spans="2:14" ht="18" customHeight="1" thickBot="1">
      <c r="B4" s="109" t="s">
        <v>93</v>
      </c>
      <c r="C4" s="110" t="s">
        <v>14</v>
      </c>
      <c r="D4" s="109" t="s">
        <v>94</v>
      </c>
      <c r="E4" s="109" t="s">
        <v>104</v>
      </c>
      <c r="F4" s="135"/>
    </row>
    <row r="5" spans="2:14" ht="13.5" thickBot="1">
      <c r="B5" s="25" t="s">
        <v>143</v>
      </c>
      <c r="C5" s="28" t="s">
        <v>244</v>
      </c>
      <c r="D5" s="29" t="s">
        <v>95</v>
      </c>
      <c r="E5" s="29" t="s">
        <v>246</v>
      </c>
      <c r="F5" s="23"/>
    </row>
    <row r="6" spans="2:14" ht="13.5" thickBot="1">
      <c r="B6" s="152" t="s">
        <v>144</v>
      </c>
      <c r="C6" s="132" t="s">
        <v>245</v>
      </c>
      <c r="D6" s="153" t="s">
        <v>218</v>
      </c>
      <c r="E6" s="153" t="s">
        <v>246</v>
      </c>
      <c r="F6" s="23"/>
    </row>
    <row r="7" spans="2:14" ht="13">
      <c r="B7" s="135"/>
      <c r="D7" s="23"/>
      <c r="E7" s="23"/>
      <c r="F7" s="23"/>
    </row>
    <row r="8" spans="2:14" ht="13">
      <c r="B8" s="135"/>
      <c r="D8" s="23"/>
      <c r="E8" s="23"/>
      <c r="F8" s="23"/>
    </row>
    <row r="9" spans="2:14" ht="13">
      <c r="B9" s="135"/>
      <c r="D9" s="23"/>
      <c r="E9" s="23"/>
      <c r="F9" s="23"/>
    </row>
    <row r="10" spans="2:14" ht="13.5" thickBot="1">
      <c r="D10" s="24"/>
    </row>
    <row r="11" spans="2:14" ht="19.899999999999999" customHeight="1" thickBot="1">
      <c r="B11" s="259" t="s">
        <v>91</v>
      </c>
      <c r="C11" s="260"/>
      <c r="D11" s="260"/>
      <c r="E11" s="260"/>
      <c r="F11" s="261"/>
    </row>
    <row r="12" spans="2:14" ht="84.5" customHeight="1" thickBot="1">
      <c r="F12" s="205" t="s">
        <v>290</v>
      </c>
    </row>
    <row r="13" spans="2:14" ht="18" customHeight="1" thickBot="1">
      <c r="B13" s="44" t="s">
        <v>93</v>
      </c>
      <c r="C13" s="111" t="s">
        <v>72</v>
      </c>
      <c r="D13" s="44" t="s">
        <v>102</v>
      </c>
      <c r="E13" s="109" t="s">
        <v>103</v>
      </c>
      <c r="F13" s="44" t="s">
        <v>92</v>
      </c>
      <c r="H13" s="262"/>
      <c r="I13" s="262"/>
      <c r="J13" s="262"/>
      <c r="K13" s="262"/>
      <c r="L13" s="262"/>
      <c r="N13" s="22"/>
    </row>
    <row r="14" spans="2:14" ht="13.5" thickBot="1">
      <c r="B14" s="42" t="s">
        <v>0</v>
      </c>
      <c r="C14" s="28" t="s">
        <v>247</v>
      </c>
      <c r="D14" s="43" t="s">
        <v>98</v>
      </c>
      <c r="E14" s="9" t="s">
        <v>99</v>
      </c>
      <c r="F14" s="29" t="s">
        <v>96</v>
      </c>
    </row>
    <row r="15" spans="2:14" ht="13.5" thickBot="1">
      <c r="B15" s="42" t="s">
        <v>87</v>
      </c>
      <c r="C15" s="28" t="s">
        <v>168</v>
      </c>
      <c r="D15" s="38" t="s">
        <v>98</v>
      </c>
      <c r="E15" s="26" t="s">
        <v>99</v>
      </c>
      <c r="F15" s="29" t="s">
        <v>96</v>
      </c>
    </row>
    <row r="16" spans="2:14" ht="13.5" thickBot="1">
      <c r="B16" s="42" t="s">
        <v>88</v>
      </c>
      <c r="C16" s="28" t="s">
        <v>169</v>
      </c>
      <c r="D16" s="38" t="s">
        <v>98</v>
      </c>
      <c r="E16" s="26" t="s">
        <v>134</v>
      </c>
      <c r="F16" s="29" t="s">
        <v>96</v>
      </c>
    </row>
    <row r="17" spans="2:8" ht="13.5" thickBot="1">
      <c r="B17" s="42" t="s">
        <v>76</v>
      </c>
      <c r="C17" s="28" t="s">
        <v>254</v>
      </c>
      <c r="D17" s="44" t="s">
        <v>100</v>
      </c>
      <c r="E17" s="29" t="s">
        <v>136</v>
      </c>
      <c r="F17" s="29" t="s">
        <v>96</v>
      </c>
    </row>
    <row r="18" spans="2:8" ht="13.5" hidden="1" thickBot="1">
      <c r="B18" s="30" t="s">
        <v>77</v>
      </c>
      <c r="C18" s="28" t="s">
        <v>158</v>
      </c>
      <c r="D18" s="39" t="s">
        <v>100</v>
      </c>
      <c r="E18" s="26" t="s">
        <v>136</v>
      </c>
      <c r="F18" s="26" t="s">
        <v>97</v>
      </c>
    </row>
    <row r="19" spans="2:8" ht="13.5" thickBot="1">
      <c r="B19" s="30" t="s">
        <v>79</v>
      </c>
      <c r="C19" s="28" t="s">
        <v>176</v>
      </c>
      <c r="D19" s="39" t="s">
        <v>100</v>
      </c>
      <c r="E19" s="26" t="s">
        <v>136</v>
      </c>
      <c r="F19" s="26" t="s">
        <v>96</v>
      </c>
    </row>
    <row r="20" spans="2:8" ht="13.5" thickBot="1">
      <c r="B20" s="30" t="s">
        <v>78</v>
      </c>
      <c r="C20" s="28" t="s">
        <v>255</v>
      </c>
      <c r="D20" s="39" t="s">
        <v>100</v>
      </c>
      <c r="E20" s="26" t="s">
        <v>136</v>
      </c>
      <c r="F20" s="26" t="s">
        <v>96</v>
      </c>
    </row>
    <row r="21" spans="2:8" ht="13.5" hidden="1" thickBot="1">
      <c r="B21" s="30" t="s">
        <v>219</v>
      </c>
      <c r="C21" s="28" t="s">
        <v>220</v>
      </c>
      <c r="D21" s="39" t="s">
        <v>100</v>
      </c>
      <c r="E21" s="27" t="s">
        <v>136</v>
      </c>
      <c r="F21" s="26" t="s">
        <v>97</v>
      </c>
    </row>
    <row r="22" spans="2:8" ht="13.5" thickBot="1">
      <c r="B22" s="42" t="s">
        <v>112</v>
      </c>
      <c r="C22" s="28" t="s">
        <v>162</v>
      </c>
      <c r="D22" s="146" t="s">
        <v>114</v>
      </c>
      <c r="E22" s="29" t="s">
        <v>137</v>
      </c>
      <c r="F22" s="147" t="s">
        <v>96</v>
      </c>
    </row>
    <row r="23" spans="2:8" ht="13.5" thickBot="1">
      <c r="B23" s="42" t="s">
        <v>113</v>
      </c>
      <c r="C23" s="28" t="s">
        <v>163</v>
      </c>
      <c r="D23" s="134" t="s">
        <v>114</v>
      </c>
      <c r="E23" s="26" t="s">
        <v>137</v>
      </c>
      <c r="F23" s="145" t="s">
        <v>96</v>
      </c>
    </row>
    <row r="24" spans="2:8" ht="13.5" thickBot="1">
      <c r="B24" s="42" t="s">
        <v>115</v>
      </c>
      <c r="C24" s="28" t="s">
        <v>164</v>
      </c>
      <c r="D24" s="134" t="s">
        <v>114</v>
      </c>
      <c r="E24" s="26" t="s">
        <v>85</v>
      </c>
      <c r="F24" s="145" t="s">
        <v>96</v>
      </c>
    </row>
    <row r="25" spans="2:8" ht="13.5" thickBot="1">
      <c r="B25" s="42" t="s">
        <v>160</v>
      </c>
      <c r="C25" s="28" t="s">
        <v>165</v>
      </c>
      <c r="D25" s="134" t="s">
        <v>114</v>
      </c>
      <c r="E25" s="26" t="s">
        <v>195</v>
      </c>
      <c r="F25" s="145" t="s">
        <v>96</v>
      </c>
    </row>
    <row r="26" spans="2:8" ht="13.5" thickBot="1">
      <c r="B26" s="42" t="s">
        <v>161</v>
      </c>
      <c r="C26" s="28" t="s">
        <v>166</v>
      </c>
      <c r="D26" s="134" t="s">
        <v>114</v>
      </c>
      <c r="E26" s="27" t="s">
        <v>195</v>
      </c>
      <c r="F26" s="148" t="s">
        <v>96</v>
      </c>
    </row>
    <row r="27" spans="2:8" ht="13.5" thickBot="1">
      <c r="B27" s="42" t="s">
        <v>75</v>
      </c>
      <c r="C27" s="28" t="s">
        <v>267</v>
      </c>
      <c r="D27" s="40" t="s">
        <v>101</v>
      </c>
      <c r="E27" s="26" t="s">
        <v>138</v>
      </c>
      <c r="F27" s="26" t="s">
        <v>96</v>
      </c>
    </row>
    <row r="28" spans="2:8" ht="13.5" thickBot="1">
      <c r="B28" s="42" t="s">
        <v>89</v>
      </c>
      <c r="C28" s="28" t="s">
        <v>271</v>
      </c>
      <c r="D28" s="40" t="s">
        <v>101</v>
      </c>
      <c r="E28" s="26" t="s">
        <v>138</v>
      </c>
      <c r="F28" s="26" t="s">
        <v>96</v>
      </c>
    </row>
    <row r="29" spans="2:8" ht="13.5" thickBot="1">
      <c r="B29" s="42" t="s">
        <v>83</v>
      </c>
      <c r="C29" s="28" t="s">
        <v>167</v>
      </c>
      <c r="D29" s="40" t="s">
        <v>101</v>
      </c>
      <c r="E29" s="26" t="s">
        <v>85</v>
      </c>
      <c r="F29" s="26" t="s">
        <v>96</v>
      </c>
      <c r="H29" s="24"/>
    </row>
    <row r="30" spans="2:8" ht="13.5" thickBot="1">
      <c r="B30" s="42" t="s">
        <v>90</v>
      </c>
      <c r="C30" s="28" t="s">
        <v>273</v>
      </c>
      <c r="D30" s="40" t="s">
        <v>101</v>
      </c>
      <c r="E30" s="26" t="s">
        <v>138</v>
      </c>
      <c r="F30" s="26" t="s">
        <v>96</v>
      </c>
      <c r="H30" s="24"/>
    </row>
    <row r="31" spans="2:8" ht="13.5" hidden="1" thickBot="1">
      <c r="B31" s="42" t="s">
        <v>141</v>
      </c>
      <c r="C31" s="131" t="s">
        <v>159</v>
      </c>
      <c r="D31" s="41" t="s">
        <v>101</v>
      </c>
      <c r="E31" s="27" t="s">
        <v>138</v>
      </c>
      <c r="F31" s="27" t="s">
        <v>96</v>
      </c>
      <c r="H31" s="24"/>
    </row>
    <row r="32" spans="2:8" ht="13.5" thickBot="1">
      <c r="B32" s="42" t="s">
        <v>171</v>
      </c>
      <c r="C32" s="21" t="s">
        <v>230</v>
      </c>
      <c r="D32" s="130" t="s">
        <v>170</v>
      </c>
      <c r="E32" s="26" t="s">
        <v>170</v>
      </c>
      <c r="F32" s="26" t="s">
        <v>96</v>
      </c>
    </row>
    <row r="33" spans="2:6" ht="13.5" thickBot="1">
      <c r="B33" s="42" t="s">
        <v>172</v>
      </c>
      <c r="C33" s="28" t="s">
        <v>174</v>
      </c>
      <c r="D33" s="130" t="s">
        <v>170</v>
      </c>
      <c r="E33" s="26" t="s">
        <v>170</v>
      </c>
      <c r="F33" s="26" t="s">
        <v>96</v>
      </c>
    </row>
    <row r="34" spans="2:6" ht="13.5" thickBot="1">
      <c r="B34" s="208" t="s">
        <v>173</v>
      </c>
      <c r="C34" s="132" t="s">
        <v>175</v>
      </c>
      <c r="D34" s="133" t="s">
        <v>170</v>
      </c>
      <c r="E34" s="27" t="s">
        <v>170</v>
      </c>
      <c r="F34" s="27" t="s">
        <v>96</v>
      </c>
    </row>
  </sheetData>
  <mergeCells count="3">
    <mergeCell ref="B11:F11"/>
    <mergeCell ref="H13:L13"/>
    <mergeCell ref="B2:E2"/>
  </mergeCells>
  <phoneticPr fontId="22" type="noConversion"/>
  <conditionalFormatting sqref="F5:F9 F14:F34">
    <cfRule type="cellIs" dxfId="59" priority="4" operator="equal">
      <formula>"?"</formula>
    </cfRule>
    <cfRule type="cellIs" dxfId="58" priority="5" operator="equal">
      <formula>"Y"</formula>
    </cfRule>
    <cfRule type="cellIs" dxfId="57" priority="6" operator="equal">
      <formula>"N"</formula>
    </cfRule>
  </conditionalFormatting>
  <hyperlinks>
    <hyperlink ref="B14" location="'ENV1'!A1" display="ENV1" xr:uid="{00000000-0004-0000-0000-000000000000}"/>
    <hyperlink ref="B15" location="'ENV2'!A1" display="ENV2" xr:uid="{00000000-0004-0000-0000-000001000000}"/>
    <hyperlink ref="B17" location="'ECO1'!A1" display="ECO1" xr:uid="{00000000-0004-0000-0000-000002000000}"/>
    <hyperlink ref="B18" location="'ECO2'!A1" display="ECO2" xr:uid="{00000000-0004-0000-0000-000003000000}"/>
    <hyperlink ref="B19" location="'ECO3'!A1" display="ECO3" xr:uid="{00000000-0004-0000-0000-000004000000}"/>
    <hyperlink ref="B23" location="SOCI2!A1" display="SOCI2" xr:uid="{00000000-0004-0000-0000-000006000000}"/>
    <hyperlink ref="B22" location="SOCI1!A1" display="SOCI1" xr:uid="{00000000-0004-0000-0000-000007000000}"/>
    <hyperlink ref="B26" location="SOCI5!A1" display="SOCI5" xr:uid="{00000000-0004-0000-0000-000008000000}"/>
    <hyperlink ref="B27" location="TECH1!A1" display="TECH1" xr:uid="{00000000-0004-0000-0000-000009000000}"/>
    <hyperlink ref="B29" location="TECH3!A1" display="TECH3" xr:uid="{00000000-0004-0000-0000-00000A000000}"/>
    <hyperlink ref="B28" location="TECH2!A1" display="TECH2" xr:uid="{00000000-0004-0000-0000-00000C000000}"/>
    <hyperlink ref="B30:B31" location="TECH6!A1" display="TECH6" xr:uid="{00000000-0004-0000-0000-00000D000000}"/>
    <hyperlink ref="B16" location="'ENV4'!A1" display="ENV4" xr:uid="{00000000-0004-0000-0000-00000E000000}"/>
    <hyperlink ref="B30" location="TECH4!A1" display="TECH4" xr:uid="{00000000-0004-0000-0000-000010000000}"/>
    <hyperlink ref="B31" location="TECH5!A1" display="TECH5" xr:uid="{00000000-0004-0000-0000-000011000000}"/>
    <hyperlink ref="B24" location="SOCI3!A1" display="SOCI3" xr:uid="{00000000-0004-0000-0000-000012000000}"/>
    <hyperlink ref="B25" location="SOCI4!A1" display="SOCI4" xr:uid="{00000000-0004-0000-0000-000013000000}"/>
    <hyperlink ref="B32" location="RISK1!A1" display="RISK1" xr:uid="{00000000-0004-0000-0000-000014000000}"/>
    <hyperlink ref="B33" location="RISK2!A1" display="RISK2" xr:uid="{00000000-0004-0000-0000-000015000000}"/>
    <hyperlink ref="B34" location="RISK3!A1" display="RISK3" xr:uid="{00000000-0004-0000-0000-000016000000}"/>
    <hyperlink ref="B21" location="'ECO5'!A1" display="ECO5" xr:uid="{3291437B-73CC-412B-ABDF-B5B1FCD2CF31}"/>
    <hyperlink ref="B20" location="'ECO4'!A1" display="ECO4" xr:uid="{00000000-0004-0000-0000-000005000000}"/>
    <hyperlink ref="B16" location="'ENV3'!A1" display="ENV3" xr:uid="{76F25785-DB16-406B-BFD0-BF10AAC117E9}"/>
  </hyperlink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Feuil25">
    <tabColor rgb="FFFF0000"/>
  </sheetPr>
  <dimension ref="B1:AX46"/>
  <sheetViews>
    <sheetView showGridLines="0" zoomScale="68" zoomScaleNormal="85" workbookViewId="0">
      <selection activeCell="N44" sqref="N44"/>
    </sheetView>
  </sheetViews>
  <sheetFormatPr baseColWidth="10" defaultColWidth="11.54296875" defaultRowHeight="14"/>
  <cols>
    <col min="1" max="1" width="3.26953125" style="46" customWidth="1"/>
    <col min="2" max="2" width="5.54296875" style="46" customWidth="1"/>
    <col min="3" max="3" width="38.453125" style="46" customWidth="1"/>
    <col min="4" max="4" width="38.26953125" style="46" customWidth="1"/>
    <col min="5" max="5" width="11.1796875" style="46" customWidth="1"/>
    <col min="6" max="6" width="14.6328125" style="46" customWidth="1"/>
    <col min="7" max="8" width="11.1796875" style="46" customWidth="1"/>
    <col min="9" max="9" width="11.1796875" style="46" hidden="1" customWidth="1"/>
    <col min="10" max="11" width="11.1796875" style="46" customWidth="1"/>
    <col min="12" max="12" width="11.1796875" style="46" hidden="1" customWidth="1"/>
    <col min="13" max="13" width="12.6328125" style="46" customWidth="1"/>
    <col min="14" max="21" width="11.1796875" style="46" customWidth="1"/>
    <col min="22" max="22" width="11.1796875" style="228" hidden="1" customWidth="1"/>
    <col min="23" max="23" width="13.54296875" style="46" customWidth="1"/>
    <col min="24" max="25" width="11.1796875" style="46" customWidth="1"/>
    <col min="26" max="26" width="3.7265625" style="46" customWidth="1"/>
    <col min="27" max="33" width="11.54296875" style="46"/>
    <col min="34" max="50" width="11.54296875" style="46" customWidth="1"/>
    <col min="51" max="16384" width="11.54296875" style="46"/>
  </cols>
  <sheetData>
    <row r="1" spans="3:26" ht="14.5" thickBot="1"/>
    <row r="2" spans="3:26" ht="18.649999999999999" customHeight="1" thickBot="1">
      <c r="C2" s="59" t="s">
        <v>128</v>
      </c>
      <c r="E2" s="269" t="s">
        <v>139</v>
      </c>
      <c r="F2" s="270"/>
      <c r="G2" s="270"/>
      <c r="H2" s="270"/>
      <c r="I2" s="270"/>
      <c r="J2" s="270"/>
      <c r="K2" s="270"/>
      <c r="L2" s="270"/>
      <c r="M2" s="270"/>
      <c r="N2" s="270"/>
      <c r="O2" s="270"/>
      <c r="P2" s="270"/>
      <c r="Q2" s="270"/>
      <c r="R2" s="270"/>
      <c r="S2" s="270"/>
      <c r="T2" s="270"/>
      <c r="U2" s="270"/>
      <c r="V2" s="270"/>
      <c r="W2" s="270"/>
      <c r="X2" s="270"/>
      <c r="Y2" s="270"/>
    </row>
    <row r="3" spans="3:26" ht="18.649999999999999" customHeight="1" thickBot="1">
      <c r="C3" s="74" t="s">
        <v>116</v>
      </c>
      <c r="E3" s="269"/>
      <c r="F3" s="270"/>
      <c r="G3" s="270"/>
      <c r="H3" s="270"/>
      <c r="I3" s="270"/>
      <c r="J3" s="270"/>
      <c r="K3" s="270"/>
      <c r="L3" s="270"/>
      <c r="M3" s="270"/>
      <c r="N3" s="270"/>
      <c r="O3" s="270"/>
      <c r="P3" s="270"/>
      <c r="Q3" s="270"/>
      <c r="R3" s="270"/>
      <c r="S3" s="270"/>
      <c r="T3" s="270"/>
      <c r="U3" s="270"/>
      <c r="V3" s="270"/>
      <c r="W3" s="270"/>
      <c r="X3" s="270"/>
      <c r="Y3" s="270"/>
    </row>
    <row r="4" spans="3:26" ht="70.5" thickBot="1">
      <c r="C4" s="263" t="s">
        <v>291</v>
      </c>
      <c r="E4" s="209" t="str">
        <f>'1. Criteria'!C14</f>
        <v>CO2 emissions/km</v>
      </c>
      <c r="F4" s="209" t="str">
        <f>'1. Criteria'!C15</f>
        <v>GHG emissions and GWP</v>
      </c>
      <c r="G4" s="209" t="str">
        <f>'1. Criteria'!C16</f>
        <v>NMVOC</v>
      </c>
      <c r="H4" s="209" t="str">
        <f>'1. Criteria'!C17</f>
        <v>Acquisition costs</v>
      </c>
      <c r="I4" s="209" t="s">
        <v>150</v>
      </c>
      <c r="J4" s="209" t="str">
        <f>'1. Criteria'!C19</f>
        <v>Payback period</v>
      </c>
      <c r="K4" s="209" t="str">
        <f>'1. Criteria'!C20</f>
        <v>Total cost of ownership</v>
      </c>
      <c r="L4" s="209" t="s">
        <v>151</v>
      </c>
      <c r="M4" s="209" t="str">
        <f>'1. Criteria'!C22</f>
        <v>Acceptability</v>
      </c>
      <c r="N4" s="209" t="str">
        <f>'1. Criteria'!C23</f>
        <v>Awareness</v>
      </c>
      <c r="O4" s="209" t="str">
        <f>'1. Criteria'!C24</f>
        <v>Health damage</v>
      </c>
      <c r="P4" s="209" t="str">
        <f>'1. Criteria'!C25</f>
        <v>Social benefits</v>
      </c>
      <c r="Q4" s="209" t="str">
        <f>'1. Criteria'!C26</f>
        <v>Expertise</v>
      </c>
      <c r="R4" s="209" t="str">
        <f>'1. Criteria'!C27</f>
        <v>Energy consumption per km</v>
      </c>
      <c r="S4" s="209" t="str">
        <f>'1. Criteria'!C28</f>
        <v>Power or acceleration performance</v>
      </c>
      <c r="T4" s="209" t="str">
        <f>'1. Criteria'!C29</f>
        <v>Safety</v>
      </c>
      <c r="U4" s="209" t="str">
        <f>'1. Criteria'!C30</f>
        <v>Reliability</v>
      </c>
      <c r="V4" s="229" t="str">
        <f>'1. Criteria'!C31</f>
        <v>Flexibility</v>
      </c>
      <c r="W4" s="209" t="str">
        <f>'1. Criteria'!C32</f>
        <v>Political support</v>
      </c>
      <c r="X4" s="209" t="str">
        <f>'1. Criteria'!C33</f>
        <v>External supply risks</v>
      </c>
      <c r="Y4" s="210" t="str">
        <f>'1. Criteria'!C34</f>
        <v>Resource supply risks</v>
      </c>
    </row>
    <row r="5" spans="3:26" ht="30.65" customHeight="1" thickBot="1">
      <c r="C5" s="264"/>
      <c r="D5" s="46" t="s">
        <v>117</v>
      </c>
      <c r="E5" s="48" t="s">
        <v>0</v>
      </c>
      <c r="F5" s="49" t="s">
        <v>87</v>
      </c>
      <c r="G5" s="49" t="s">
        <v>88</v>
      </c>
      <c r="H5" s="50" t="s">
        <v>76</v>
      </c>
      <c r="I5" s="51" t="s">
        <v>77</v>
      </c>
      <c r="J5" s="51" t="s">
        <v>79</v>
      </c>
      <c r="K5" s="52" t="s">
        <v>78</v>
      </c>
      <c r="L5" s="52" t="s">
        <v>219</v>
      </c>
      <c r="M5" s="53" t="s">
        <v>112</v>
      </c>
      <c r="N5" s="53" t="s">
        <v>113</v>
      </c>
      <c r="O5" s="53" t="s">
        <v>115</v>
      </c>
      <c r="P5" s="53" t="s">
        <v>160</v>
      </c>
      <c r="Q5" s="53" t="s">
        <v>161</v>
      </c>
      <c r="R5" s="54" t="s">
        <v>75</v>
      </c>
      <c r="S5" s="55" t="s">
        <v>89</v>
      </c>
      <c r="T5" s="55" t="s">
        <v>83</v>
      </c>
      <c r="U5" s="55" t="s">
        <v>90</v>
      </c>
      <c r="V5" s="200" t="s">
        <v>141</v>
      </c>
      <c r="W5" s="142" t="s">
        <v>171</v>
      </c>
      <c r="X5" s="141" t="s">
        <v>172</v>
      </c>
      <c r="Y5" s="143" t="s">
        <v>173</v>
      </c>
    </row>
    <row r="6" spans="3:26" ht="13.9" hidden="1" customHeight="1">
      <c r="C6" s="264"/>
      <c r="D6" s="46" t="s">
        <v>116</v>
      </c>
      <c r="E6" s="47">
        <v>1</v>
      </c>
      <c r="F6" s="95">
        <v>1</v>
      </c>
      <c r="G6" s="95">
        <v>1</v>
      </c>
      <c r="H6" s="47">
        <v>1</v>
      </c>
      <c r="I6" s="95">
        <v>0</v>
      </c>
      <c r="J6" s="95">
        <v>1</v>
      </c>
      <c r="K6" s="105">
        <v>1</v>
      </c>
      <c r="L6" s="105">
        <v>1</v>
      </c>
      <c r="M6" s="95">
        <v>1</v>
      </c>
      <c r="N6" s="95">
        <v>1</v>
      </c>
      <c r="O6" s="95">
        <v>1</v>
      </c>
      <c r="P6" s="95">
        <v>1</v>
      </c>
      <c r="Q6" s="95">
        <v>1</v>
      </c>
      <c r="R6" s="47">
        <v>1</v>
      </c>
      <c r="S6" s="95">
        <v>1</v>
      </c>
      <c r="T6" s="95">
        <v>1</v>
      </c>
      <c r="U6" s="95">
        <v>1</v>
      </c>
      <c r="V6" s="230">
        <v>0</v>
      </c>
      <c r="W6" s="47">
        <v>1</v>
      </c>
      <c r="X6" s="95">
        <v>1</v>
      </c>
      <c r="Y6" s="105">
        <v>1</v>
      </c>
    </row>
    <row r="7" spans="3:26" ht="13.9" hidden="1" customHeight="1">
      <c r="C7" s="264"/>
      <c r="D7" s="46" t="s">
        <v>109</v>
      </c>
      <c r="E7" s="47">
        <v>1</v>
      </c>
      <c r="F7" s="95">
        <v>1</v>
      </c>
      <c r="G7" s="95">
        <v>1</v>
      </c>
      <c r="H7" s="47">
        <v>0</v>
      </c>
      <c r="I7" s="95">
        <v>0</v>
      </c>
      <c r="J7" s="95">
        <v>0</v>
      </c>
      <c r="K7" s="105">
        <v>0</v>
      </c>
      <c r="L7" s="105">
        <v>0</v>
      </c>
      <c r="M7" s="95">
        <v>0</v>
      </c>
      <c r="N7" s="95">
        <v>0</v>
      </c>
      <c r="O7" s="95">
        <v>0</v>
      </c>
      <c r="P7" s="95">
        <v>0</v>
      </c>
      <c r="Q7" s="95">
        <v>0</v>
      </c>
      <c r="R7" s="47">
        <v>0</v>
      </c>
      <c r="S7" s="95">
        <v>0</v>
      </c>
      <c r="T7" s="95">
        <v>0</v>
      </c>
      <c r="U7" s="95">
        <v>0</v>
      </c>
      <c r="V7" s="230">
        <v>0</v>
      </c>
      <c r="W7" s="47">
        <v>0</v>
      </c>
      <c r="X7" s="95">
        <v>0</v>
      </c>
      <c r="Y7" s="105">
        <v>0</v>
      </c>
    </row>
    <row r="8" spans="3:26" ht="13.9" hidden="1" customHeight="1">
      <c r="C8" s="264"/>
      <c r="D8" s="46" t="s">
        <v>202</v>
      </c>
      <c r="E8" s="47">
        <v>0</v>
      </c>
      <c r="F8" s="95">
        <v>0</v>
      </c>
      <c r="G8" s="95">
        <v>0</v>
      </c>
      <c r="H8" s="47">
        <v>1</v>
      </c>
      <c r="I8" s="95">
        <v>0</v>
      </c>
      <c r="J8" s="95">
        <v>1</v>
      </c>
      <c r="K8" s="105">
        <v>1</v>
      </c>
      <c r="L8" s="105">
        <v>1</v>
      </c>
      <c r="M8" s="95">
        <v>0</v>
      </c>
      <c r="N8" s="95">
        <v>0</v>
      </c>
      <c r="O8" s="95">
        <v>0</v>
      </c>
      <c r="P8" s="95">
        <v>0</v>
      </c>
      <c r="Q8" s="95">
        <v>0</v>
      </c>
      <c r="R8" s="47">
        <v>0</v>
      </c>
      <c r="S8" s="95">
        <v>0</v>
      </c>
      <c r="T8" s="95">
        <v>0</v>
      </c>
      <c r="U8" s="95">
        <v>0</v>
      </c>
      <c r="V8" s="230">
        <v>0</v>
      </c>
      <c r="W8" s="47">
        <v>0</v>
      </c>
      <c r="X8" s="95">
        <v>0</v>
      </c>
      <c r="Y8" s="105">
        <v>0</v>
      </c>
    </row>
    <row r="9" spans="3:26" ht="13.9" hidden="1" customHeight="1">
      <c r="C9" s="264"/>
      <c r="D9" s="46" t="s">
        <v>203</v>
      </c>
      <c r="E9" s="47">
        <v>0</v>
      </c>
      <c r="F9" s="95">
        <v>0</v>
      </c>
      <c r="G9" s="95">
        <v>0</v>
      </c>
      <c r="H9" s="47">
        <v>0</v>
      </c>
      <c r="I9" s="95">
        <v>0</v>
      </c>
      <c r="J9" s="95">
        <v>0</v>
      </c>
      <c r="K9" s="105">
        <v>0</v>
      </c>
      <c r="L9" s="105">
        <v>0</v>
      </c>
      <c r="M9" s="95">
        <v>0</v>
      </c>
      <c r="N9" s="95">
        <v>0</v>
      </c>
      <c r="O9" s="95">
        <v>0</v>
      </c>
      <c r="P9" s="95">
        <v>0</v>
      </c>
      <c r="Q9" s="95">
        <v>0</v>
      </c>
      <c r="R9" s="47">
        <v>0</v>
      </c>
      <c r="S9" s="95">
        <v>0</v>
      </c>
      <c r="T9" s="95">
        <v>0</v>
      </c>
      <c r="U9" s="95">
        <v>0</v>
      </c>
      <c r="V9" s="230">
        <v>0</v>
      </c>
      <c r="W9" s="47">
        <v>1</v>
      </c>
      <c r="X9" s="95">
        <v>1</v>
      </c>
      <c r="Y9" s="105">
        <v>1</v>
      </c>
    </row>
    <row r="10" spans="3:26" ht="13.9" hidden="1" customHeight="1">
      <c r="C10" s="264"/>
      <c r="D10" s="46" t="s">
        <v>124</v>
      </c>
      <c r="E10" s="47">
        <v>0</v>
      </c>
      <c r="F10" s="95">
        <v>0</v>
      </c>
      <c r="G10" s="95">
        <v>0</v>
      </c>
      <c r="H10" s="47">
        <v>0</v>
      </c>
      <c r="I10" s="95">
        <v>0</v>
      </c>
      <c r="J10" s="95">
        <v>0</v>
      </c>
      <c r="K10" s="105">
        <v>0</v>
      </c>
      <c r="L10" s="105">
        <v>0</v>
      </c>
      <c r="M10" s="95">
        <v>1</v>
      </c>
      <c r="N10" s="95">
        <v>1</v>
      </c>
      <c r="O10" s="95">
        <v>1</v>
      </c>
      <c r="P10" s="95">
        <v>1</v>
      </c>
      <c r="Q10" s="95">
        <v>1</v>
      </c>
      <c r="R10" s="47">
        <v>0</v>
      </c>
      <c r="S10" s="95">
        <v>0</v>
      </c>
      <c r="T10" s="95">
        <v>0</v>
      </c>
      <c r="U10" s="95">
        <v>0</v>
      </c>
      <c r="V10" s="230">
        <v>0</v>
      </c>
      <c r="W10" s="47">
        <v>0</v>
      </c>
      <c r="X10" s="95">
        <v>0</v>
      </c>
      <c r="Y10" s="105">
        <v>0</v>
      </c>
    </row>
    <row r="11" spans="3:26" ht="13.9" hidden="1" customHeight="1">
      <c r="C11" s="264"/>
      <c r="D11" s="46" t="s">
        <v>110</v>
      </c>
      <c r="E11" s="47">
        <v>0</v>
      </c>
      <c r="F11" s="95">
        <v>0</v>
      </c>
      <c r="G11" s="95">
        <v>0</v>
      </c>
      <c r="H11" s="47">
        <v>0</v>
      </c>
      <c r="I11" s="95">
        <v>0</v>
      </c>
      <c r="J11" s="95">
        <v>0</v>
      </c>
      <c r="K11" s="105">
        <v>0</v>
      </c>
      <c r="L11" s="105">
        <v>0</v>
      </c>
      <c r="M11" s="95">
        <v>0</v>
      </c>
      <c r="N11" s="95">
        <v>0</v>
      </c>
      <c r="O11" s="95">
        <v>0</v>
      </c>
      <c r="P11" s="95">
        <v>0</v>
      </c>
      <c r="Q11" s="95">
        <v>0</v>
      </c>
      <c r="R11" s="47">
        <v>1</v>
      </c>
      <c r="S11" s="95">
        <v>1</v>
      </c>
      <c r="T11" s="95">
        <v>1</v>
      </c>
      <c r="U11" s="95">
        <v>1</v>
      </c>
      <c r="V11" s="230">
        <v>0</v>
      </c>
      <c r="W11" s="47">
        <v>0</v>
      </c>
      <c r="X11" s="95">
        <v>0</v>
      </c>
      <c r="Y11" s="105">
        <v>0</v>
      </c>
    </row>
    <row r="12" spans="3:26" ht="13.9" hidden="1" customHeight="1">
      <c r="C12" s="264"/>
      <c r="D12" s="46" t="s">
        <v>306</v>
      </c>
      <c r="E12" s="47">
        <v>3</v>
      </c>
      <c r="F12" s="95">
        <v>0</v>
      </c>
      <c r="G12" s="95">
        <v>2</v>
      </c>
      <c r="H12" s="47">
        <v>3</v>
      </c>
      <c r="I12" s="95">
        <v>0</v>
      </c>
      <c r="J12" s="95">
        <v>0</v>
      </c>
      <c r="K12" s="105">
        <v>0</v>
      </c>
      <c r="L12" s="105">
        <v>2</v>
      </c>
      <c r="M12" s="95">
        <v>3</v>
      </c>
      <c r="N12" s="95">
        <v>2</v>
      </c>
      <c r="O12" s="95">
        <v>2</v>
      </c>
      <c r="P12" s="95">
        <v>2</v>
      </c>
      <c r="Q12" s="95">
        <v>2</v>
      </c>
      <c r="R12" s="47">
        <v>3</v>
      </c>
      <c r="S12" s="95">
        <v>2</v>
      </c>
      <c r="T12" s="95">
        <v>3</v>
      </c>
      <c r="U12" s="95">
        <v>1</v>
      </c>
      <c r="V12" s="230">
        <v>0</v>
      </c>
      <c r="W12" s="47">
        <v>3</v>
      </c>
      <c r="X12" s="95">
        <v>3</v>
      </c>
      <c r="Y12" s="105">
        <v>2</v>
      </c>
    </row>
    <row r="13" spans="3:26" ht="13.5" hidden="1" customHeight="1">
      <c r="C13" s="264"/>
      <c r="D13" s="46" t="s">
        <v>307</v>
      </c>
      <c r="E13" s="47">
        <v>1</v>
      </c>
      <c r="F13" s="95">
        <v>1</v>
      </c>
      <c r="G13" s="95">
        <v>3</v>
      </c>
      <c r="H13" s="47">
        <v>3</v>
      </c>
      <c r="I13" s="95">
        <v>0</v>
      </c>
      <c r="J13" s="95">
        <v>3</v>
      </c>
      <c r="K13" s="105">
        <v>3</v>
      </c>
      <c r="L13" s="105">
        <v>3</v>
      </c>
      <c r="M13" s="95">
        <v>1</v>
      </c>
      <c r="N13" s="95">
        <v>1</v>
      </c>
      <c r="O13" s="95">
        <v>1</v>
      </c>
      <c r="P13" s="95">
        <v>1</v>
      </c>
      <c r="Q13" s="95">
        <v>1</v>
      </c>
      <c r="R13" s="47">
        <v>3</v>
      </c>
      <c r="S13" s="95">
        <v>3</v>
      </c>
      <c r="T13" s="95">
        <v>1</v>
      </c>
      <c r="U13" s="95">
        <v>1</v>
      </c>
      <c r="V13" s="230">
        <v>0</v>
      </c>
      <c r="W13" s="47">
        <v>1</v>
      </c>
      <c r="X13" s="95">
        <v>1</v>
      </c>
      <c r="Y13" s="105">
        <v>1</v>
      </c>
    </row>
    <row r="14" spans="3:26" ht="22.9" customHeight="1" thickBot="1">
      <c r="C14" s="264"/>
      <c r="D14" s="46" t="s">
        <v>123</v>
      </c>
      <c r="E14" s="176">
        <v>2</v>
      </c>
      <c r="F14" s="175">
        <v>0</v>
      </c>
      <c r="G14" s="175">
        <v>0</v>
      </c>
      <c r="H14" s="176">
        <v>3</v>
      </c>
      <c r="I14" s="175">
        <v>0</v>
      </c>
      <c r="J14" s="175">
        <v>0</v>
      </c>
      <c r="K14" s="137">
        <v>0</v>
      </c>
      <c r="L14" s="137">
        <v>2</v>
      </c>
      <c r="M14" s="175">
        <v>0</v>
      </c>
      <c r="N14" s="175">
        <v>0</v>
      </c>
      <c r="O14" s="175">
        <v>0</v>
      </c>
      <c r="P14" s="175">
        <v>0</v>
      </c>
      <c r="Q14" s="175">
        <v>0</v>
      </c>
      <c r="R14" s="176">
        <v>0</v>
      </c>
      <c r="S14" s="175">
        <v>0</v>
      </c>
      <c r="T14" s="175">
        <v>0</v>
      </c>
      <c r="U14" s="175">
        <v>0</v>
      </c>
      <c r="V14" s="231">
        <v>0</v>
      </c>
      <c r="W14" s="176">
        <v>0</v>
      </c>
      <c r="X14" s="175">
        <v>1</v>
      </c>
      <c r="Y14" s="137">
        <v>1</v>
      </c>
    </row>
    <row r="15" spans="3:26" ht="22.9" customHeight="1" thickBot="1">
      <c r="C15" s="75" t="s">
        <v>129</v>
      </c>
      <c r="D15" s="46" t="str">
        <f>C3</f>
        <v>Equal weights</v>
      </c>
      <c r="E15" s="66">
        <f>VLOOKUP($D$15,$D$6:$Y$14,2,FALSE)</f>
        <v>1</v>
      </c>
      <c r="F15" s="65">
        <f>VLOOKUP($D$15,$D$6:$Y$14,3,FALSE)</f>
        <v>1</v>
      </c>
      <c r="G15" s="67">
        <f>VLOOKUP($D$15,$D$6:$Y$14,4,FALSE)</f>
        <v>1</v>
      </c>
      <c r="H15" s="66">
        <f>VLOOKUP($D$15,$D$6:$Y$14,4,FALSE)</f>
        <v>1</v>
      </c>
      <c r="I15" s="65">
        <v>0</v>
      </c>
      <c r="J15" s="65">
        <f>VLOOKUP($D$15,$D$6:$Y$14,7,FALSE)</f>
        <v>1</v>
      </c>
      <c r="K15" s="67">
        <f>VLOOKUP($D$15,$D$6:$Y$14,8,FALSE)</f>
        <v>1</v>
      </c>
      <c r="L15" s="67">
        <v>0</v>
      </c>
      <c r="M15" s="66">
        <f>VLOOKUP($D$15,$D$6:$Y$14,10,FALSE)</f>
        <v>1</v>
      </c>
      <c r="N15" s="65">
        <f>VLOOKUP($D$15,$D$6:$Y$14,11,FALSE)</f>
        <v>1</v>
      </c>
      <c r="O15" s="65">
        <f>VLOOKUP($D$15,$D$6:$Y$14,12,FALSE)</f>
        <v>1</v>
      </c>
      <c r="P15" s="65">
        <f>VLOOKUP($D$15,$D$6:$Y$14,13,FALSE)</f>
        <v>1</v>
      </c>
      <c r="Q15" s="67">
        <f>VLOOKUP($D$15,$D$6:$Y$14,14,FALSE)</f>
        <v>1</v>
      </c>
      <c r="R15" s="66">
        <f>VLOOKUP($D$15,$D$6:$Y$14,15,FALSE)</f>
        <v>1</v>
      </c>
      <c r="S15" s="65">
        <f>VLOOKUP($D$15,$D$6:$Y$14,16,FALSE)</f>
        <v>1</v>
      </c>
      <c r="T15" s="65">
        <f>VLOOKUP($D$15,$D$6:$Y$14,17,FALSE)</f>
        <v>1</v>
      </c>
      <c r="U15" s="65">
        <f>VLOOKUP($D$15,$D$6:$Y$14,18,FALSE)</f>
        <v>1</v>
      </c>
      <c r="V15" s="232">
        <f>VLOOKUP($D$15,$D$6:$Y$14,19,FALSE)</f>
        <v>0</v>
      </c>
      <c r="W15" s="65">
        <f>VLOOKUP($D$15,$D$6:$Y$14,20,FALSE)</f>
        <v>1</v>
      </c>
      <c r="X15" s="65">
        <f>VLOOKUP($D$15,$D$6:$Y$14,21,FALSE)</f>
        <v>1</v>
      </c>
      <c r="Y15" s="67">
        <f>VLOOKUP($D$15,$D$6:$Y$14,22,FALSE)</f>
        <v>1</v>
      </c>
      <c r="Z15" s="95"/>
    </row>
    <row r="16" spans="3:26" ht="44.5" customHeight="1" thickBot="1">
      <c r="D16" s="211" t="s">
        <v>304</v>
      </c>
      <c r="E16" s="218" t="str">
        <f>'ENV1'!D8</f>
        <v>ppm</v>
      </c>
      <c r="F16" s="219" t="str">
        <f>'ENV2'!C21</f>
        <v>gCO2-eq. /kWh</v>
      </c>
      <c r="G16" s="219" t="str">
        <f>'ENV3'!C22</f>
        <v>1 = low, 2 = high</v>
      </c>
      <c r="H16" s="220" t="s">
        <v>221</v>
      </c>
      <c r="I16" s="225" t="str">
        <f>'ECO2'!D8</f>
        <v>€</v>
      </c>
      <c r="J16" s="226" t="s">
        <v>331</v>
      </c>
      <c r="K16" s="227" t="s">
        <v>330</v>
      </c>
      <c r="L16" s="221" t="str">
        <f>'ECO5'!D8</f>
        <v>€/kW/yr</v>
      </c>
      <c r="M16" s="219" t="str">
        <f>SOCI1!D8</f>
        <v>Scale (1 = low; 2 = high)</v>
      </c>
      <c r="N16" s="219" t="str">
        <f>SOCI2!D8</f>
        <v>Scale (1 = low; 2 = high)</v>
      </c>
      <c r="O16" s="219" t="str">
        <f>SOCI3!C21</f>
        <v>Scale (1 = low; 2 = high)</v>
      </c>
      <c r="P16" s="219" t="str">
        <f>SOCI4!C21</f>
        <v>Scale (1 = low; 2 = high)</v>
      </c>
      <c r="Q16" s="219" t="str">
        <f>SOCI5!C21</f>
        <v>Scale (1 = low; 2 = high)</v>
      </c>
      <c r="R16" s="218" t="str">
        <f>TECH1!D8</f>
        <v>kWh/100km</v>
      </c>
      <c r="S16" s="219" t="str">
        <f>TECH2!E8</f>
        <v>%</v>
      </c>
      <c r="T16" s="219" t="str">
        <f>TECH3!D8</f>
        <v>Scale on 1-5 (1 = very unsafe to 5 = very safe)</v>
      </c>
      <c r="U16" s="219" t="str">
        <f>TECH4!D8</f>
        <v>Scale 1 to 3 (1 = low to 3 = high)</v>
      </c>
      <c r="V16" s="233">
        <f>TECH5!D8</f>
        <v>0</v>
      </c>
      <c r="W16" s="222" t="str">
        <f>RISK1!D8</f>
        <v>Scale 1 to 3 (1 = not favourable to 3 = highly favourable)</v>
      </c>
      <c r="X16" s="222" t="str">
        <f>RISK2!D8</f>
        <v>scale 1 to 3 (1 = low risk, 3 = high risk)</v>
      </c>
      <c r="Y16" s="223" t="str">
        <f>RISK3!D8</f>
        <v>Scale 1 to 5 (1 = low risk, 5 = high risk)</v>
      </c>
    </row>
    <row r="17" spans="2:50" ht="22.15" customHeight="1" thickBot="1">
      <c r="B17" s="267" t="s">
        <v>156</v>
      </c>
      <c r="C17" s="61" t="s">
        <v>251</v>
      </c>
      <c r="D17" s="60"/>
      <c r="E17" s="217">
        <f>'ENV1'!$D$31</f>
        <v>1.3599999999999999E-2</v>
      </c>
      <c r="F17" s="80">
        <f>'ENV2'!D29</f>
        <v>4</v>
      </c>
      <c r="G17" s="78">
        <f>'ENV3'!$D$30</f>
        <v>1</v>
      </c>
      <c r="H17" s="138">
        <f>'ECO1'!$D$32</f>
        <v>1500</v>
      </c>
      <c r="I17" s="86">
        <f>'ECO2'!$D$29</f>
        <v>2300</v>
      </c>
      <c r="J17" s="86">
        <f>'ECO3'!$D$31</f>
        <v>2</v>
      </c>
      <c r="K17" s="139">
        <f>'ECO4'!$D$28</f>
        <v>2</v>
      </c>
      <c r="L17" s="178">
        <f>'ECO5'!D32</f>
        <v>115</v>
      </c>
      <c r="M17" s="78">
        <f>SOCI1!$D$30</f>
        <v>2</v>
      </c>
      <c r="N17" s="80">
        <f>SOCI2!$D$29</f>
        <v>2</v>
      </c>
      <c r="O17" s="78">
        <f>SOCI3!$D$33</f>
        <v>1</v>
      </c>
      <c r="P17" s="80">
        <f>SOCI4!$D$33</f>
        <v>2</v>
      </c>
      <c r="Q17" s="78">
        <f>SOCI5!$D$33</f>
        <v>2</v>
      </c>
      <c r="R17" s="180">
        <f>TECH1!$D$31</f>
        <v>4</v>
      </c>
      <c r="S17" s="78">
        <f>TECH2!$E$21</f>
        <v>77</v>
      </c>
      <c r="T17" s="80">
        <f>TECH3!$D$36</f>
        <v>2</v>
      </c>
      <c r="U17" s="80">
        <f>TECH4!$D$30</f>
        <v>3</v>
      </c>
      <c r="V17" s="234">
        <f>TECH5!$D$25</f>
        <v>3</v>
      </c>
      <c r="W17" s="138">
        <f>RISK1!$D$28</f>
        <v>3</v>
      </c>
      <c r="X17" s="86">
        <f>RISK2!$D$32</f>
        <v>1</v>
      </c>
      <c r="Y17" s="139">
        <f>RISK3!$D$28</f>
        <v>2</v>
      </c>
    </row>
    <row r="18" spans="2:50" ht="22.15" customHeight="1" thickBot="1">
      <c r="B18" s="267"/>
      <c r="C18" s="63" t="s">
        <v>250</v>
      </c>
      <c r="D18" s="64"/>
      <c r="E18" s="84">
        <f>'ENV1'!$F$31</f>
        <v>1.5599999999999999E-2</v>
      </c>
      <c r="F18" s="80">
        <f>'ENV2'!$F$29</f>
        <v>469</v>
      </c>
      <c r="G18" s="78">
        <f>'ENV3'!$F$30</f>
        <v>2</v>
      </c>
      <c r="H18" s="179">
        <f>'ECO1'!$F$32</f>
        <v>840</v>
      </c>
      <c r="I18" s="224">
        <f>'ECO2'!$F$29</f>
        <v>600</v>
      </c>
      <c r="J18" s="224">
        <f>'ECO3'!$F$31</f>
        <v>1</v>
      </c>
      <c r="K18" s="241">
        <f>'ECO4'!$F$28</f>
        <v>1</v>
      </c>
      <c r="L18" s="177">
        <f>'ECO5'!$F$32</f>
        <v>120</v>
      </c>
      <c r="M18" s="78">
        <f>SOCI1!$F$30</f>
        <v>1</v>
      </c>
      <c r="N18" s="80">
        <f>SOCI2!$F$29</f>
        <v>1</v>
      </c>
      <c r="O18" s="78">
        <f>SOCI3!$F$33</f>
        <v>2</v>
      </c>
      <c r="P18" s="80">
        <f>SOCI4!$F$33</f>
        <v>1</v>
      </c>
      <c r="Q18" s="78">
        <f>SOCI5!$F$33</f>
        <v>1</v>
      </c>
      <c r="R18" s="180">
        <f>TECH1!$F$31</f>
        <v>13</v>
      </c>
      <c r="S18" s="78">
        <f>TECH2!$G$21</f>
        <v>30</v>
      </c>
      <c r="T18" s="80">
        <f>TECH3!$F$36</f>
        <v>5</v>
      </c>
      <c r="U18" s="80">
        <f>TECH4!$F$30</f>
        <v>1</v>
      </c>
      <c r="V18" s="234">
        <f>TECH5!$F$25</f>
        <v>2</v>
      </c>
      <c r="W18" s="138">
        <f>RISK1!$F$28</f>
        <v>1</v>
      </c>
      <c r="X18" s="86">
        <f>RISK2!$F$32</f>
        <v>3</v>
      </c>
      <c r="Y18" s="139">
        <f>RISK3!$F$28</f>
        <v>4</v>
      </c>
      <c r="AD18" s="240"/>
    </row>
    <row r="19" spans="2:50" ht="22.15" hidden="1" customHeight="1" thickBot="1">
      <c r="B19" s="267"/>
      <c r="C19" s="62"/>
      <c r="E19" s="186"/>
      <c r="F19" s="78"/>
      <c r="G19" s="78"/>
      <c r="H19" s="138"/>
      <c r="I19" s="86"/>
      <c r="J19" s="86"/>
      <c r="K19" s="139"/>
      <c r="L19" s="178"/>
      <c r="M19" s="78"/>
      <c r="N19" s="80"/>
      <c r="O19" s="78"/>
      <c r="P19" s="80"/>
      <c r="Q19" s="78"/>
      <c r="R19" s="180"/>
      <c r="S19" s="78"/>
      <c r="T19" s="80"/>
      <c r="U19" s="80"/>
      <c r="V19" s="234"/>
      <c r="W19" s="138"/>
      <c r="X19" s="86"/>
      <c r="Y19" s="139"/>
    </row>
    <row r="20" spans="2:50" ht="22.15" hidden="1" customHeight="1" thickBot="1">
      <c r="B20" s="267"/>
      <c r="C20" s="63"/>
      <c r="D20" s="61"/>
      <c r="E20" s="85"/>
      <c r="F20" s="78"/>
      <c r="G20" s="78"/>
      <c r="H20" s="138"/>
      <c r="I20" s="86"/>
      <c r="J20" s="86"/>
      <c r="K20" s="139"/>
      <c r="L20" s="178"/>
      <c r="M20" s="78"/>
      <c r="N20" s="80"/>
      <c r="O20" s="78"/>
      <c r="P20" s="80"/>
      <c r="Q20" s="78"/>
      <c r="R20" s="180"/>
      <c r="S20" s="78"/>
      <c r="T20" s="80"/>
      <c r="U20" s="80"/>
      <c r="V20" s="234"/>
      <c r="W20" s="138"/>
      <c r="X20" s="86"/>
      <c r="Y20" s="139"/>
    </row>
    <row r="21" spans="2:50" ht="22.15" hidden="1" customHeight="1" thickBot="1">
      <c r="B21" s="267"/>
      <c r="C21" s="62" t="s">
        <v>145</v>
      </c>
      <c r="D21" s="62"/>
      <c r="E21" s="85"/>
      <c r="F21" s="78"/>
      <c r="G21" s="78"/>
      <c r="H21" s="79"/>
      <c r="I21" s="80"/>
      <c r="J21" s="80"/>
      <c r="K21" s="241"/>
      <c r="L21" s="81"/>
      <c r="M21" s="78"/>
      <c r="N21" s="80"/>
      <c r="O21" s="78"/>
      <c r="P21" s="78"/>
      <c r="Q21" s="78"/>
      <c r="R21" s="180"/>
      <c r="S21" s="78"/>
      <c r="T21" s="82"/>
      <c r="U21" s="80"/>
      <c r="V21" s="234"/>
      <c r="W21" s="180"/>
      <c r="X21" s="224"/>
      <c r="Y21" s="83"/>
    </row>
    <row r="22" spans="2:50" ht="22.15" hidden="1" customHeight="1" thickBot="1">
      <c r="B22" s="267"/>
      <c r="C22" s="63" t="s">
        <v>146</v>
      </c>
      <c r="D22" s="62"/>
      <c r="E22" s="84"/>
      <c r="F22" s="78"/>
      <c r="G22" s="78"/>
      <c r="H22" s="79"/>
      <c r="I22" s="80"/>
      <c r="J22" s="80"/>
      <c r="K22" s="241"/>
      <c r="L22" s="81"/>
      <c r="M22" s="78"/>
      <c r="N22" s="80"/>
      <c r="O22" s="78"/>
      <c r="P22" s="78"/>
      <c r="Q22" s="78"/>
      <c r="R22" s="180"/>
      <c r="S22" s="78"/>
      <c r="T22" s="82"/>
      <c r="U22" s="80"/>
      <c r="V22" s="234"/>
      <c r="W22" s="180"/>
      <c r="X22" s="224"/>
      <c r="Y22" s="83"/>
    </row>
    <row r="23" spans="2:50" ht="22.15" hidden="1" customHeight="1" thickBot="1">
      <c r="B23" s="267"/>
      <c r="C23" s="62" t="s">
        <v>147</v>
      </c>
      <c r="D23" s="62"/>
      <c r="E23" s="85"/>
      <c r="F23" s="78"/>
      <c r="G23" s="78"/>
      <c r="H23" s="79"/>
      <c r="I23" s="86"/>
      <c r="J23" s="80"/>
      <c r="K23" s="241"/>
      <c r="L23" s="81"/>
      <c r="M23" s="78"/>
      <c r="N23" s="80"/>
      <c r="O23" s="78"/>
      <c r="P23" s="78"/>
      <c r="Q23" s="78"/>
      <c r="R23" s="180"/>
      <c r="S23" s="78"/>
      <c r="T23" s="82"/>
      <c r="U23" s="80"/>
      <c r="V23" s="234"/>
      <c r="W23" s="180"/>
      <c r="X23" s="224"/>
      <c r="Y23" s="83"/>
    </row>
    <row r="24" spans="2:50" ht="22.15" hidden="1" customHeight="1" thickBot="1">
      <c r="B24" s="267"/>
      <c r="C24" s="63" t="s">
        <v>148</v>
      </c>
      <c r="D24" s="62"/>
      <c r="E24" s="84"/>
      <c r="F24" s="100"/>
      <c r="G24" s="100"/>
      <c r="H24" s="79"/>
      <c r="I24" s="86"/>
      <c r="J24" s="80"/>
      <c r="K24" s="241"/>
      <c r="L24" s="81"/>
      <c r="M24" s="78"/>
      <c r="N24" s="80"/>
      <c r="O24" s="78"/>
      <c r="P24" s="78"/>
      <c r="Q24" s="78"/>
      <c r="R24" s="180"/>
      <c r="S24" s="78"/>
      <c r="T24" s="82"/>
      <c r="U24" s="80"/>
      <c r="V24" s="234"/>
      <c r="W24" s="180"/>
      <c r="X24" s="224"/>
      <c r="Y24" s="83"/>
    </row>
    <row r="25" spans="2:50" ht="22.15" hidden="1" customHeight="1" thickBot="1">
      <c r="B25" s="104"/>
      <c r="C25" s="61" t="s">
        <v>149</v>
      </c>
      <c r="D25" s="62"/>
      <c r="E25" s="84"/>
      <c r="F25" s="100"/>
      <c r="G25" s="100"/>
      <c r="H25" s="79"/>
      <c r="I25" s="80"/>
      <c r="J25" s="80"/>
      <c r="K25" s="241"/>
      <c r="L25" s="81"/>
      <c r="M25" s="78"/>
      <c r="N25" s="80"/>
      <c r="O25" s="78"/>
      <c r="P25" s="78"/>
      <c r="Q25" s="78"/>
      <c r="R25" s="180"/>
      <c r="S25" s="78"/>
      <c r="T25" s="82"/>
      <c r="U25" s="80"/>
      <c r="V25" s="234"/>
      <c r="W25" s="180"/>
      <c r="X25" s="224"/>
      <c r="Y25" s="83"/>
    </row>
    <row r="26" spans="2:50" ht="22.15" customHeight="1" thickBot="1">
      <c r="B26" s="268"/>
      <c r="C26" s="118" t="s">
        <v>251</v>
      </c>
      <c r="D26" s="265" t="s">
        <v>305</v>
      </c>
      <c r="E26" s="65">
        <v>1.3599999999999999E-2</v>
      </c>
      <c r="F26" s="65">
        <v>4</v>
      </c>
      <c r="G26" s="65">
        <v>1</v>
      </c>
      <c r="H26" s="68">
        <v>1500</v>
      </c>
      <c r="I26" s="69">
        <v>2300</v>
      </c>
      <c r="J26" s="69">
        <v>2</v>
      </c>
      <c r="K26" s="73">
        <v>2</v>
      </c>
      <c r="L26" s="70">
        <v>115</v>
      </c>
      <c r="M26" s="65">
        <v>2</v>
      </c>
      <c r="N26" s="69">
        <v>2</v>
      </c>
      <c r="O26" s="65">
        <v>1</v>
      </c>
      <c r="P26" s="65">
        <v>2</v>
      </c>
      <c r="Q26" s="65">
        <v>2</v>
      </c>
      <c r="R26" s="140">
        <v>4</v>
      </c>
      <c r="S26" s="65">
        <v>77</v>
      </c>
      <c r="T26" s="65">
        <v>2</v>
      </c>
      <c r="U26" s="69">
        <v>3</v>
      </c>
      <c r="V26" s="235">
        <v>3</v>
      </c>
      <c r="W26" s="140">
        <v>3</v>
      </c>
      <c r="X26" s="69">
        <v>1</v>
      </c>
      <c r="Y26" s="73">
        <v>2</v>
      </c>
      <c r="AU26" s="46">
        <v>0.75</v>
      </c>
      <c r="AV26" s="46">
        <v>1</v>
      </c>
      <c r="AX26" s="46">
        <v>0.33</v>
      </c>
    </row>
    <row r="27" spans="2:50" ht="59" customHeight="1" thickBot="1">
      <c r="B27" s="268"/>
      <c r="C27" s="119" t="s">
        <v>250</v>
      </c>
      <c r="D27" s="265"/>
      <c r="E27" s="66">
        <v>1.5599999999999999E-2</v>
      </c>
      <c r="F27" s="65">
        <v>469</v>
      </c>
      <c r="G27" s="67">
        <v>2</v>
      </c>
      <c r="H27" s="68">
        <v>840</v>
      </c>
      <c r="I27" s="69">
        <v>600</v>
      </c>
      <c r="J27" s="69">
        <v>1</v>
      </c>
      <c r="K27" s="73">
        <v>1</v>
      </c>
      <c r="L27" s="70">
        <v>120</v>
      </c>
      <c r="M27" s="65">
        <v>1</v>
      </c>
      <c r="N27" s="69">
        <v>1</v>
      </c>
      <c r="O27" s="65">
        <v>2</v>
      </c>
      <c r="P27" s="65">
        <v>1</v>
      </c>
      <c r="Q27" s="67">
        <v>1</v>
      </c>
      <c r="R27" s="140">
        <v>13</v>
      </c>
      <c r="S27" s="65">
        <v>30</v>
      </c>
      <c r="T27" s="65">
        <v>5</v>
      </c>
      <c r="U27" s="69">
        <v>1</v>
      </c>
      <c r="V27" s="235">
        <v>2</v>
      </c>
      <c r="W27" s="140">
        <v>1</v>
      </c>
      <c r="X27" s="69">
        <v>3</v>
      </c>
      <c r="Y27" s="73">
        <v>4</v>
      </c>
      <c r="AU27" s="46">
        <v>0.75</v>
      </c>
      <c r="AV27" s="46">
        <v>5</v>
      </c>
      <c r="AX27" s="46">
        <v>0.38</v>
      </c>
    </row>
    <row r="28" spans="2:50" ht="22.15" hidden="1" customHeight="1" thickBot="1">
      <c r="B28" s="268"/>
      <c r="C28" s="120"/>
      <c r="D28" s="265"/>
      <c r="E28" s="65"/>
      <c r="F28" s="65"/>
      <c r="G28" s="65"/>
      <c r="H28" s="68"/>
      <c r="I28" s="69"/>
      <c r="J28" s="69"/>
      <c r="K28" s="108"/>
      <c r="L28" s="70"/>
      <c r="M28" s="65"/>
      <c r="N28" s="71"/>
      <c r="O28" s="65"/>
      <c r="P28" s="65"/>
      <c r="Q28" s="65"/>
      <c r="R28" s="72"/>
      <c r="S28" s="65"/>
      <c r="T28" s="65"/>
      <c r="U28" s="69"/>
      <c r="V28" s="235"/>
      <c r="W28" s="140"/>
      <c r="X28" s="69"/>
      <c r="Y28" s="73"/>
      <c r="AU28" s="46">
        <v>0.5</v>
      </c>
      <c r="AV28" s="46">
        <v>1</v>
      </c>
      <c r="AX28" s="46">
        <v>1</v>
      </c>
    </row>
    <row r="29" spans="2:50" ht="22.15" hidden="1" customHeight="1" thickBot="1">
      <c r="B29" s="268"/>
      <c r="C29" s="119"/>
      <c r="D29" s="266"/>
      <c r="E29" s="66"/>
      <c r="F29" s="65"/>
      <c r="G29" s="65"/>
      <c r="H29" s="91"/>
      <c r="I29" s="87"/>
      <c r="J29" s="87"/>
      <c r="K29" s="174"/>
      <c r="L29" s="92"/>
      <c r="M29" s="65"/>
      <c r="N29" s="71"/>
      <c r="O29" s="65"/>
      <c r="P29" s="65"/>
      <c r="Q29" s="65"/>
      <c r="R29" s="72"/>
      <c r="S29" s="65"/>
      <c r="T29" s="65"/>
      <c r="U29" s="69"/>
      <c r="V29" s="235"/>
      <c r="W29" s="140"/>
      <c r="X29" s="69"/>
      <c r="Y29" s="73"/>
      <c r="AU29" s="46">
        <v>0.27</v>
      </c>
      <c r="AV29" s="46">
        <v>3</v>
      </c>
      <c r="AX29" s="46">
        <v>1</v>
      </c>
    </row>
    <row r="30" spans="2:50" ht="22.15" hidden="1" customHeight="1" thickBot="1">
      <c r="B30" s="268"/>
      <c r="C30" s="120" t="s">
        <v>145</v>
      </c>
      <c r="D30" s="63"/>
      <c r="E30" s="65"/>
      <c r="F30" s="65"/>
      <c r="G30" s="65"/>
      <c r="H30" s="91"/>
      <c r="I30" s="87"/>
      <c r="J30" s="87"/>
      <c r="K30" s="92"/>
      <c r="L30" s="174"/>
      <c r="M30" s="65"/>
      <c r="N30" s="71"/>
      <c r="O30" s="65"/>
      <c r="P30" s="65"/>
      <c r="Q30" s="65"/>
      <c r="R30" s="72"/>
      <c r="S30" s="65"/>
      <c r="T30" s="71"/>
      <c r="U30" s="69"/>
      <c r="V30" s="236"/>
      <c r="W30" s="87"/>
      <c r="X30" s="87"/>
      <c r="Y30" s="87"/>
      <c r="AU30" s="46">
        <v>0.2</v>
      </c>
      <c r="AV30" s="46">
        <v>4</v>
      </c>
      <c r="AX30" s="46">
        <v>1</v>
      </c>
    </row>
    <row r="31" spans="2:50" ht="22.15" hidden="1" customHeight="1">
      <c r="B31" s="268"/>
      <c r="C31" s="119" t="s">
        <v>146</v>
      </c>
      <c r="D31" s="63"/>
      <c r="E31" s="95"/>
      <c r="F31" s="95"/>
      <c r="G31" s="95"/>
      <c r="H31" s="89"/>
      <c r="I31" s="76"/>
      <c r="J31" s="76"/>
      <c r="K31" s="90"/>
      <c r="L31" s="173"/>
      <c r="M31" s="95"/>
      <c r="N31" s="77"/>
      <c r="O31" s="95"/>
      <c r="P31" s="95"/>
      <c r="Q31" s="95"/>
      <c r="R31" s="93"/>
      <c r="S31" s="95"/>
      <c r="T31" s="77"/>
      <c r="U31" s="69"/>
      <c r="V31" s="236"/>
      <c r="W31" s="69"/>
      <c r="X31" s="76"/>
      <c r="Y31" s="76"/>
      <c r="AU31" s="46">
        <v>0.75</v>
      </c>
      <c r="AV31" s="46">
        <v>1</v>
      </c>
      <c r="AX31" s="46">
        <v>0.15</v>
      </c>
    </row>
    <row r="32" spans="2:50" ht="22.15" hidden="1" customHeight="1">
      <c r="B32" s="268"/>
      <c r="C32" s="120" t="s">
        <v>147</v>
      </c>
      <c r="D32" s="63"/>
      <c r="E32" s="65"/>
      <c r="F32" s="65"/>
      <c r="G32" s="65"/>
      <c r="H32" s="68"/>
      <c r="I32" s="69"/>
      <c r="J32" s="69"/>
      <c r="K32" s="70"/>
      <c r="L32" s="108"/>
      <c r="M32" s="65"/>
      <c r="N32" s="71"/>
      <c r="O32" s="65"/>
      <c r="P32" s="65"/>
      <c r="Q32" s="65"/>
      <c r="R32" s="72"/>
      <c r="S32" s="65"/>
      <c r="T32" s="71"/>
      <c r="U32" s="69"/>
      <c r="V32" s="236"/>
      <c r="W32" s="69"/>
      <c r="X32" s="69"/>
      <c r="Y32" s="69"/>
      <c r="AU32" s="46">
        <v>0.75</v>
      </c>
      <c r="AV32" s="46">
        <v>5</v>
      </c>
      <c r="AX32" s="46">
        <v>0.45</v>
      </c>
    </row>
    <row r="33" spans="2:50" ht="22.5" hidden="1" customHeight="1">
      <c r="B33" s="268"/>
      <c r="C33" s="119" t="s">
        <v>148</v>
      </c>
      <c r="D33" s="63"/>
      <c r="E33" s="106"/>
      <c r="F33" s="106"/>
      <c r="G33" s="106"/>
      <c r="H33" s="91"/>
      <c r="I33" s="87"/>
      <c r="J33" s="87"/>
      <c r="K33" s="92"/>
      <c r="L33" s="174"/>
      <c r="M33" s="106"/>
      <c r="N33" s="88"/>
      <c r="O33" s="106"/>
      <c r="P33" s="106"/>
      <c r="Q33" s="106"/>
      <c r="R33" s="94"/>
      <c r="S33" s="106"/>
      <c r="T33" s="88"/>
      <c r="U33" s="69"/>
      <c r="V33" s="236"/>
      <c r="W33" s="69"/>
      <c r="X33" s="87"/>
      <c r="Y33" s="87"/>
      <c r="AU33" s="46">
        <v>0.3</v>
      </c>
      <c r="AV33" s="46">
        <v>3</v>
      </c>
      <c r="AX33" s="46">
        <v>0.4</v>
      </c>
    </row>
    <row r="34" spans="2:50" ht="10.5" hidden="1" customHeight="1" thickBot="1">
      <c r="B34" s="95"/>
      <c r="C34" s="119" t="s">
        <v>149</v>
      </c>
      <c r="D34" s="121"/>
      <c r="E34" s="65"/>
      <c r="F34" s="65"/>
      <c r="G34" s="65"/>
      <c r="H34" s="91"/>
      <c r="I34" s="69"/>
      <c r="J34" s="69"/>
      <c r="K34" s="108"/>
      <c r="L34" s="174"/>
      <c r="M34" s="91"/>
      <c r="N34" s="71"/>
      <c r="O34" s="65"/>
      <c r="P34" s="65"/>
      <c r="Q34" s="65"/>
      <c r="R34" s="72"/>
      <c r="S34" s="65"/>
      <c r="T34" s="71"/>
      <c r="U34" s="69"/>
      <c r="V34" s="236"/>
      <c r="W34" s="69"/>
      <c r="X34" s="87"/>
      <c r="Y34" s="87"/>
    </row>
    <row r="35" spans="2:50" ht="11.5" customHeight="1">
      <c r="B35" s="95"/>
      <c r="E35" s="95"/>
      <c r="F35" s="268"/>
      <c r="G35" s="268"/>
      <c r="J35" s="95"/>
      <c r="N35" s="95"/>
      <c r="O35" s="95"/>
      <c r="P35" s="95"/>
      <c r="Q35" s="95"/>
      <c r="R35" s="95"/>
      <c r="S35" s="95"/>
      <c r="T35" s="95"/>
      <c r="U35" s="95"/>
      <c r="V35" s="237"/>
      <c r="W35" s="95"/>
      <c r="X35" s="95"/>
      <c r="Y35" s="95"/>
    </row>
    <row r="36" spans="2:50" ht="11.5" customHeight="1">
      <c r="B36" s="95"/>
      <c r="E36" s="95"/>
      <c r="F36" s="268"/>
      <c r="G36" s="268"/>
      <c r="J36" s="95"/>
      <c r="N36" s="95"/>
      <c r="O36" s="95"/>
      <c r="P36" s="95"/>
      <c r="Q36" s="95"/>
      <c r="R36" s="95"/>
      <c r="S36" s="95"/>
      <c r="T36" s="95"/>
      <c r="U36" s="95"/>
      <c r="V36" s="237"/>
      <c r="W36" s="95"/>
      <c r="X36" s="95"/>
      <c r="Y36" s="95"/>
    </row>
    <row r="37" spans="2:50" ht="11.5" customHeight="1" thickBot="1">
      <c r="B37" s="95"/>
      <c r="E37" s="95"/>
      <c r="F37" s="95"/>
      <c r="G37" s="95"/>
      <c r="H37" s="95"/>
      <c r="I37" s="95"/>
      <c r="J37" s="95"/>
      <c r="K37" s="95"/>
      <c r="L37" s="95"/>
      <c r="M37" s="95"/>
      <c r="N37" s="95"/>
      <c r="O37" s="95"/>
      <c r="P37" s="95"/>
      <c r="Q37" s="95"/>
      <c r="R37" s="95"/>
      <c r="S37" s="95"/>
      <c r="T37" s="95"/>
      <c r="U37" s="95"/>
      <c r="V37" s="237"/>
      <c r="W37" s="95"/>
      <c r="X37" s="95"/>
      <c r="Y37" s="95"/>
    </row>
    <row r="38" spans="2:50" ht="34" customHeight="1" thickBot="1">
      <c r="O38" s="252" t="s">
        <v>14</v>
      </c>
      <c r="P38" s="253"/>
      <c r="Q38" s="254"/>
      <c r="R38" s="57" t="s">
        <v>125</v>
      </c>
      <c r="S38" s="58" t="s">
        <v>127</v>
      </c>
      <c r="T38" s="107" t="s">
        <v>126</v>
      </c>
    </row>
    <row r="39" spans="2:50" ht="27" customHeight="1">
      <c r="N39" s="95"/>
      <c r="O39" s="255" t="str">
        <f>'1. Criteria'!C5</f>
        <v>Electric Boda</v>
      </c>
      <c r="P39" s="256"/>
      <c r="Q39" s="256"/>
      <c r="R39" s="207">
        <f>Ranking_calc!E49</f>
        <v>1</v>
      </c>
      <c r="S39" s="181">
        <f>Ranking_calc!E51</f>
        <v>13</v>
      </c>
      <c r="T39" s="151">
        <f>Ranking_calc!E50</f>
        <v>5</v>
      </c>
    </row>
    <row r="40" spans="2:50" ht="40.5" customHeight="1" thickBot="1">
      <c r="N40" s="95"/>
      <c r="O40" s="257" t="str">
        <f>'1. Criteria'!C6</f>
        <v>ICE 150 CC</v>
      </c>
      <c r="P40" s="258"/>
      <c r="Q40" s="258"/>
      <c r="R40" s="197">
        <f>Ranking_calc!F49</f>
        <v>2</v>
      </c>
      <c r="S40" s="56">
        <f>Ranking_calc!F51</f>
        <v>5</v>
      </c>
      <c r="T40" s="144">
        <f>Ranking_calc!F50</f>
        <v>13</v>
      </c>
    </row>
    <row r="41" spans="2:50" ht="27" customHeight="1">
      <c r="M41" s="95"/>
      <c r="N41" s="268"/>
      <c r="O41" s="268"/>
      <c r="P41" s="95"/>
      <c r="Q41" s="95"/>
      <c r="R41" s="76"/>
      <c r="S41" s="95"/>
      <c r="T41" s="95"/>
    </row>
    <row r="42" spans="2:50" ht="27" customHeight="1">
      <c r="M42" s="95"/>
      <c r="N42" s="268"/>
      <c r="O42" s="268"/>
      <c r="P42" s="95"/>
      <c r="Q42" s="95"/>
      <c r="R42" s="76"/>
      <c r="S42" s="95"/>
      <c r="T42" s="95"/>
    </row>
    <row r="43" spans="2:50" ht="27" customHeight="1">
      <c r="M43" s="95"/>
      <c r="N43" s="268"/>
      <c r="O43" s="268"/>
      <c r="P43" s="95"/>
      <c r="Q43" s="95"/>
      <c r="R43" s="76"/>
      <c r="S43" s="95"/>
      <c r="T43" s="95"/>
    </row>
    <row r="44" spans="2:50" ht="27" customHeight="1">
      <c r="M44" s="95"/>
      <c r="Q44" s="95"/>
      <c r="R44" s="76"/>
      <c r="S44" s="95"/>
      <c r="T44" s="95"/>
    </row>
    <row r="45" spans="2:50">
      <c r="M45" s="95"/>
      <c r="N45" s="95"/>
      <c r="O45" s="95"/>
      <c r="P45" s="95"/>
      <c r="Q45" s="95"/>
      <c r="R45" s="76"/>
      <c r="S45" s="76"/>
      <c r="T45" s="95"/>
      <c r="U45" s="95"/>
      <c r="V45" s="237"/>
      <c r="W45" s="95"/>
      <c r="X45" s="95"/>
      <c r="Y45" s="95"/>
    </row>
    <row r="46" spans="2:50">
      <c r="M46" s="95"/>
      <c r="N46" s="95"/>
      <c r="O46" s="95"/>
      <c r="P46" s="95"/>
      <c r="Q46" s="95"/>
      <c r="R46" s="76"/>
      <c r="S46" s="76"/>
      <c r="T46" s="95"/>
      <c r="U46" s="95"/>
      <c r="V46" s="237"/>
      <c r="W46" s="95"/>
      <c r="X46" s="95"/>
      <c r="Y46" s="95"/>
    </row>
  </sheetData>
  <mergeCells count="12">
    <mergeCell ref="O38:Q38"/>
    <mergeCell ref="N43:O43"/>
    <mergeCell ref="E2:Y3"/>
    <mergeCell ref="N41:O41"/>
    <mergeCell ref="N42:O42"/>
    <mergeCell ref="O39:Q39"/>
    <mergeCell ref="O40:Q40"/>
    <mergeCell ref="C4:C14"/>
    <mergeCell ref="D26:D29"/>
    <mergeCell ref="B17:B24"/>
    <mergeCell ref="B26:B33"/>
    <mergeCell ref="F35:G36"/>
  </mergeCells>
  <phoneticPr fontId="22" type="noConversion"/>
  <conditionalFormatting sqref="R45:S46 S42 R39:S41">
    <cfRule type="colorScale" priority="43">
      <colorScale>
        <cfvo type="num" val="1"/>
        <cfvo type="num" val="3"/>
        <cfvo type="num" val="4"/>
        <color theme="7"/>
        <color theme="7" tint="0.59999389629810485"/>
        <color theme="0" tint="-0.249977111117893"/>
      </colorScale>
    </cfRule>
  </conditionalFormatting>
  <conditionalFormatting sqref="T45:T46 S39:S42">
    <cfRule type="colorScale" priority="42">
      <colorScale>
        <cfvo type="num" val="0"/>
        <cfvo type="max"/>
        <color rgb="FFFCFCFF"/>
        <color rgb="FF63BE7B"/>
      </colorScale>
    </cfRule>
  </conditionalFormatting>
  <conditionalFormatting sqref="E26:T34">
    <cfRule type="expression" dxfId="56" priority="40">
      <formula>E26&lt;&gt;E17</formula>
    </cfRule>
  </conditionalFormatting>
  <conditionalFormatting sqref="U30:Y34 U26:W29 Y26:Y29">
    <cfRule type="expression" dxfId="55" priority="35">
      <formula>U26&lt;&gt;U17</formula>
    </cfRule>
  </conditionalFormatting>
  <conditionalFormatting sqref="T43">
    <cfRule type="colorScale" priority="33">
      <colorScale>
        <cfvo type="min"/>
        <cfvo type="max"/>
        <color rgb="FFFCFCFF"/>
        <color rgb="FFF8696B"/>
      </colorScale>
    </cfRule>
  </conditionalFormatting>
  <conditionalFormatting sqref="R42:R44">
    <cfRule type="colorScale" priority="30">
      <colorScale>
        <cfvo type="num" val="1"/>
        <cfvo type="num" val="3"/>
        <cfvo type="num" val="4"/>
        <color theme="7"/>
        <color theme="7" tint="0.59999389629810485"/>
        <color theme="0" tint="-0.249977111117893"/>
      </colorScale>
    </cfRule>
  </conditionalFormatting>
  <conditionalFormatting sqref="S43:S44">
    <cfRule type="colorScale" priority="29">
      <colorScale>
        <cfvo type="num" val="1"/>
        <cfvo type="num" val="3"/>
        <cfvo type="num" val="4"/>
        <color theme="7"/>
        <color theme="7" tint="0.59999389629810485"/>
        <color theme="0" tint="-0.249977111117893"/>
      </colorScale>
    </cfRule>
  </conditionalFormatting>
  <conditionalFormatting sqref="S43:S44">
    <cfRule type="colorScale" priority="28">
      <colorScale>
        <cfvo type="num" val="0"/>
        <cfvo type="max"/>
        <color rgb="FFFCFCFF"/>
        <color rgb="FF63BE7B"/>
      </colorScale>
    </cfRule>
  </conditionalFormatting>
  <conditionalFormatting sqref="T44">
    <cfRule type="colorScale" priority="27">
      <colorScale>
        <cfvo type="min"/>
        <cfvo type="max"/>
        <color rgb="FFFCFCFF"/>
        <color rgb="FFF8696B"/>
      </colorScale>
    </cfRule>
  </conditionalFormatting>
  <conditionalFormatting sqref="X26:X29">
    <cfRule type="expression" dxfId="54" priority="3">
      <formula>X26&lt;&gt;X17</formula>
    </cfRule>
  </conditionalFormatting>
  <conditionalFormatting sqref="U45:Y46 T39:T42">
    <cfRule type="colorScale" priority="2286">
      <colorScale>
        <cfvo type="min"/>
        <cfvo type="max"/>
        <color rgb="FFFCFCFF"/>
        <color rgb="FFF8696B"/>
      </colorScale>
    </cfRule>
  </conditionalFormatting>
  <conditionalFormatting sqref="R39:R44 S39">
    <cfRule type="colorScale" priority="2495">
      <colorScale>
        <cfvo type="min"/>
        <cfvo type="percentile" val="50"/>
        <cfvo type="max"/>
        <color rgb="FF63BE7B"/>
        <color rgb="FFFFEB84"/>
        <color rgb="FFF8696B"/>
      </colorScale>
    </cfRule>
  </conditionalFormatting>
  <conditionalFormatting sqref="R39:R40">
    <cfRule type="colorScale" priority="2498">
      <colorScale>
        <cfvo type="min"/>
        <cfvo type="percentile" val="50"/>
        <cfvo type="max"/>
        <color rgb="FF63BE7B"/>
        <color rgb="FFFFEB84"/>
        <color rgb="FFF8696B"/>
      </colorScale>
    </cfRule>
  </conditionalFormatting>
  <conditionalFormatting sqref="T39:T40">
    <cfRule type="colorScale" priority="2499">
      <colorScale>
        <cfvo type="min"/>
        <cfvo type="max"/>
        <color rgb="FFFCFCFF"/>
        <color rgb="FFF8696B"/>
      </colorScale>
    </cfRule>
  </conditionalFormatting>
  <conditionalFormatting sqref="E15:Z15">
    <cfRule type="colorScale" priority="2682">
      <colorScale>
        <cfvo type="num" val="0"/>
        <cfvo type="num" val="1"/>
        <cfvo type="max"/>
        <color rgb="FFF8696B"/>
        <color rgb="FFFFEB84"/>
        <color rgb="FF63BE7B"/>
      </colorScale>
    </cfRule>
  </conditionalFormatting>
  <dataValidations count="1">
    <dataValidation type="list" allowBlank="1" showInputMessage="1" showErrorMessage="1" sqref="C3" xr:uid="{00000000-0002-0000-1800-000000000000}">
      <formula1>$D$6:$D$14</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0]!Reset">
                <anchor moveWithCells="1" sizeWithCells="1">
                  <from>
                    <xdr:col>1</xdr:col>
                    <xdr:colOff>19050</xdr:colOff>
                    <xdr:row>24</xdr:row>
                    <xdr:rowOff>241300</xdr:rowOff>
                  </from>
                  <to>
                    <xdr:col>1</xdr:col>
                    <xdr:colOff>361950</xdr:colOff>
                    <xdr:row>33</xdr:row>
                    <xdr:rowOff>222250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053B6C-1937-4ABE-840F-41D73E77F44A}">
  <sheetPr codeName="Feuil30">
    <tabColor rgb="FF7030A0"/>
  </sheetPr>
  <dimension ref="A1:Q36"/>
  <sheetViews>
    <sheetView showGridLines="0" zoomScale="88" zoomScaleNormal="88" workbookViewId="0">
      <selection activeCell="Q25" sqref="Q25"/>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8" width="11.54296875" style="2"/>
    <col min="9" max="9" width="2.54296875" style="2" customWidth="1"/>
    <col min="10" max="10" width="43.7265625" style="2" customWidth="1"/>
    <col min="11" max="16384" width="11.54296875" style="2"/>
  </cols>
  <sheetData>
    <row r="1" spans="1:17" ht="54.65" customHeight="1" thickBot="1">
      <c r="C1" s="273" t="s">
        <v>308</v>
      </c>
      <c r="D1" s="274"/>
      <c r="E1" s="274"/>
      <c r="F1" s="274"/>
      <c r="G1" s="274"/>
      <c r="H1" s="274"/>
      <c r="I1" s="274"/>
      <c r="J1" s="274"/>
      <c r="O1" s="275" t="s">
        <v>309</v>
      </c>
      <c r="P1" s="276"/>
      <c r="Q1" s="276"/>
    </row>
    <row r="2" spans="1:17" ht="24" customHeight="1" thickBot="1">
      <c r="C2" s="277" t="s">
        <v>310</v>
      </c>
      <c r="D2" s="278"/>
      <c r="E2" s="278"/>
      <c r="F2" s="278"/>
      <c r="G2" s="278"/>
      <c r="H2" s="278"/>
      <c r="I2" s="278"/>
      <c r="J2" s="278"/>
      <c r="O2" s="275"/>
      <c r="P2" s="276"/>
      <c r="Q2" s="276"/>
    </row>
    <row r="3" spans="1:17" ht="13.5" thickBot="1">
      <c r="C3" s="3"/>
      <c r="D3" s="3"/>
      <c r="E3" s="3"/>
      <c r="F3" s="3"/>
      <c r="G3" s="3"/>
      <c r="H3" s="206"/>
      <c r="O3" s="275"/>
      <c r="P3" s="276"/>
      <c r="Q3" s="276"/>
    </row>
    <row r="4" spans="1:17" ht="74.5" customHeight="1">
      <c r="C4" s="112" t="s">
        <v>131</v>
      </c>
      <c r="D4" s="279" t="s">
        <v>311</v>
      </c>
      <c r="E4" s="280"/>
      <c r="F4" s="280"/>
      <c r="G4" s="280"/>
      <c r="H4" s="280"/>
      <c r="I4" s="280"/>
      <c r="J4" s="280"/>
    </row>
    <row r="5" spans="1:17" ht="13">
      <c r="A5" s="2" t="s">
        <v>3</v>
      </c>
      <c r="C5" s="113" t="s">
        <v>1</v>
      </c>
      <c r="D5" s="281" t="s">
        <v>312</v>
      </c>
      <c r="E5" s="282"/>
      <c r="F5" s="282"/>
      <c r="G5" s="282"/>
      <c r="H5" s="282"/>
      <c r="I5" s="282"/>
      <c r="J5" s="282"/>
    </row>
    <row r="6" spans="1:17" ht="13">
      <c r="C6" s="113" t="s">
        <v>4</v>
      </c>
      <c r="D6" s="271" t="s">
        <v>313</v>
      </c>
      <c r="E6" s="272"/>
      <c r="F6" s="272"/>
      <c r="G6" s="272"/>
      <c r="H6" s="272"/>
      <c r="I6" s="272"/>
      <c r="J6" s="272"/>
    </row>
    <row r="7" spans="1:17" ht="13">
      <c r="C7" s="113" t="s">
        <v>2</v>
      </c>
      <c r="D7" s="281" t="s">
        <v>314</v>
      </c>
      <c r="E7" s="282"/>
      <c r="F7" s="282"/>
      <c r="G7" s="282"/>
      <c r="H7" s="282"/>
      <c r="I7" s="282"/>
      <c r="J7" s="282"/>
    </row>
    <row r="8" spans="1:17" ht="15" customHeight="1" thickBot="1">
      <c r="B8" s="21"/>
      <c r="C8" s="114" t="s">
        <v>152</v>
      </c>
      <c r="D8" s="285" t="s">
        <v>315</v>
      </c>
      <c r="E8" s="286"/>
      <c r="F8" s="286"/>
      <c r="G8" s="286"/>
      <c r="H8" s="286"/>
      <c r="I8" s="286"/>
      <c r="J8" s="286"/>
    </row>
    <row r="9" spans="1:17" ht="13.5" thickBot="1">
      <c r="C9" s="1"/>
      <c r="D9" s="1"/>
      <c r="E9" s="1"/>
      <c r="F9" s="1"/>
      <c r="G9" s="1"/>
      <c r="H9" s="1"/>
    </row>
    <row r="10" spans="1:17" ht="19.899999999999999" customHeight="1" thickBot="1">
      <c r="C10" s="287" t="s">
        <v>6</v>
      </c>
      <c r="D10" s="288"/>
      <c r="E10" s="288"/>
      <c r="F10" s="288"/>
      <c r="G10" s="288"/>
      <c r="H10" s="288"/>
      <c r="I10" s="288"/>
      <c r="J10" s="288"/>
    </row>
    <row r="11" spans="1:17" ht="28" customHeight="1">
      <c r="C11" s="115" t="s">
        <v>10</v>
      </c>
      <c r="D11" s="271" t="s">
        <v>292</v>
      </c>
      <c r="E11" s="272"/>
      <c r="F11" s="272"/>
      <c r="G11" s="272"/>
      <c r="H11" s="272"/>
      <c r="I11" s="272"/>
      <c r="J11" s="272"/>
    </row>
    <row r="12" spans="1:17" ht="13" thickBot="1"/>
    <row r="13" spans="1:17" ht="19.899999999999999" customHeight="1" thickBot="1">
      <c r="C13" s="287" t="s">
        <v>8</v>
      </c>
      <c r="D13" s="288"/>
      <c r="E13" s="288"/>
      <c r="F13" s="288"/>
      <c r="G13" s="288"/>
      <c r="H13" s="288"/>
      <c r="I13" s="288"/>
      <c r="J13" s="288"/>
    </row>
    <row r="14" spans="1:17" ht="28.5" customHeight="1">
      <c r="C14" s="116" t="s">
        <v>9</v>
      </c>
      <c r="D14" s="271" t="s">
        <v>293</v>
      </c>
      <c r="E14" s="272"/>
      <c r="F14" s="272"/>
      <c r="G14" s="272"/>
      <c r="H14" s="272"/>
      <c r="I14" s="272"/>
      <c r="J14" s="272"/>
    </row>
    <row r="15" spans="1:17" ht="28" customHeight="1" thickBot="1">
      <c r="C15" s="114" t="s">
        <v>153</v>
      </c>
      <c r="D15" s="271" t="s">
        <v>294</v>
      </c>
      <c r="E15" s="272"/>
      <c r="F15" s="272"/>
      <c r="G15" s="272"/>
      <c r="H15" s="272"/>
      <c r="I15" s="272"/>
      <c r="J15" s="272"/>
    </row>
    <row r="16" spans="1:17">
      <c r="C16" s="2" t="s">
        <v>7</v>
      </c>
    </row>
    <row r="17" spans="2:13" ht="13" thickBot="1"/>
    <row r="18" spans="2:13" ht="19.899999999999999" customHeight="1" thickBot="1">
      <c r="C18" s="289" t="s">
        <v>19</v>
      </c>
      <c r="D18" s="290"/>
      <c r="E18" s="290"/>
      <c r="F18" s="290"/>
      <c r="G18" s="290"/>
      <c r="H18" s="290"/>
      <c r="I18" s="290"/>
      <c r="J18" s="290"/>
    </row>
    <row r="19" spans="2:13" ht="26.5" customHeight="1" thickBot="1">
      <c r="C19" s="291" t="s">
        <v>316</v>
      </c>
      <c r="D19" s="291"/>
      <c r="E19" s="291"/>
      <c r="F19" s="291"/>
      <c r="G19" s="291"/>
      <c r="H19" s="291"/>
      <c r="I19" s="291"/>
      <c r="J19" s="291"/>
    </row>
    <row r="20" spans="2:13" ht="16" thickBot="1">
      <c r="B20" s="2" t="s">
        <v>96</v>
      </c>
      <c r="C20" s="292" t="s">
        <v>20</v>
      </c>
      <c r="D20" s="293"/>
      <c r="E20" s="293"/>
      <c r="F20" s="293"/>
      <c r="G20" s="293"/>
      <c r="H20" s="293"/>
      <c r="I20" s="293"/>
      <c r="J20" s="293"/>
    </row>
    <row r="21" spans="2:13" ht="20.5" customHeight="1" thickBot="1">
      <c r="B21" s="2" t="s">
        <v>97</v>
      </c>
      <c r="C21" s="11" t="str">
        <f>$D$8</f>
        <v>Example: €/kW</v>
      </c>
      <c r="D21" s="36" t="s">
        <v>317</v>
      </c>
      <c r="E21" s="36"/>
      <c r="F21" s="36" t="s">
        <v>318</v>
      </c>
      <c r="G21" s="36"/>
      <c r="H21" s="36" t="s">
        <v>295</v>
      </c>
      <c r="I21" s="36"/>
      <c r="J21" s="10" t="s">
        <v>84</v>
      </c>
      <c r="K21" s="294" t="s">
        <v>296</v>
      </c>
      <c r="L21" s="295"/>
      <c r="M21" s="295"/>
    </row>
    <row r="22" spans="2:13" ht="13.5" customHeight="1" thickBot="1">
      <c r="C22" s="117" t="s">
        <v>155</v>
      </c>
      <c r="D22" s="184">
        <v>1000</v>
      </c>
      <c r="E22" s="32" t="s">
        <v>96</v>
      </c>
      <c r="F22" s="184">
        <v>12000</v>
      </c>
      <c r="G22" s="32" t="s">
        <v>97</v>
      </c>
      <c r="H22" s="184">
        <v>150</v>
      </c>
      <c r="I22" s="32" t="s">
        <v>96</v>
      </c>
      <c r="J22" s="31" t="s">
        <v>297</v>
      </c>
      <c r="K22" s="294"/>
      <c r="L22" s="295"/>
      <c r="M22" s="295"/>
    </row>
    <row r="23" spans="2:13" ht="13.5" thickBot="1">
      <c r="C23" s="117" t="s">
        <v>155</v>
      </c>
      <c r="D23" s="184"/>
      <c r="E23" s="32" t="s">
        <v>96</v>
      </c>
      <c r="F23" s="184">
        <v>1500</v>
      </c>
      <c r="G23" s="32" t="s">
        <v>96</v>
      </c>
      <c r="H23" s="184">
        <v>300</v>
      </c>
      <c r="I23" s="32" t="s">
        <v>96</v>
      </c>
      <c r="J23" s="31"/>
      <c r="K23" s="294"/>
      <c r="L23" s="295"/>
      <c r="M23" s="295"/>
    </row>
    <row r="24" spans="2:13" ht="13.5" thickBot="1">
      <c r="C24" s="117" t="s">
        <v>155</v>
      </c>
      <c r="D24" s="184">
        <v>800</v>
      </c>
      <c r="E24" s="32" t="s">
        <v>97</v>
      </c>
      <c r="F24" s="184">
        <v>600</v>
      </c>
      <c r="G24" s="32" t="s">
        <v>96</v>
      </c>
      <c r="H24" s="184">
        <v>800</v>
      </c>
      <c r="I24" s="32" t="s">
        <v>97</v>
      </c>
      <c r="J24" s="31"/>
    </row>
    <row r="25" spans="2:13" ht="25.5" thickBot="1">
      <c r="C25" s="101" t="s">
        <v>298</v>
      </c>
      <c r="D25" s="184"/>
      <c r="E25" s="32"/>
      <c r="F25" s="184">
        <v>1000</v>
      </c>
      <c r="G25" s="32" t="s">
        <v>96</v>
      </c>
      <c r="H25" s="184"/>
      <c r="I25" s="32"/>
      <c r="J25" s="31"/>
    </row>
    <row r="26" spans="2:13" ht="13">
      <c r="C26" s="17" t="s">
        <v>15</v>
      </c>
      <c r="D26" s="283">
        <f>MIN(D22:D25)</f>
        <v>800</v>
      </c>
      <c r="E26" s="284"/>
      <c r="F26" s="284">
        <f>MIN(F22:F25)</f>
        <v>600</v>
      </c>
      <c r="G26" s="284"/>
      <c r="H26" s="284">
        <f>MIN(H22:H25)</f>
        <v>150</v>
      </c>
      <c r="I26" s="284"/>
      <c r="J26" s="154"/>
    </row>
    <row r="27" spans="2:13" ht="13.5" thickBot="1">
      <c r="C27" s="18" t="s">
        <v>16</v>
      </c>
      <c r="D27" s="296">
        <f>MAX(D22:D25)</f>
        <v>1000</v>
      </c>
      <c r="E27" s="297"/>
      <c r="F27" s="297">
        <f>MAX(F22:F25)</f>
        <v>12000</v>
      </c>
      <c r="G27" s="297"/>
      <c r="H27" s="297">
        <f>MAX(H22:H25)</f>
        <v>800</v>
      </c>
      <c r="I27" s="297"/>
      <c r="J27" s="155"/>
    </row>
    <row r="28" spans="2:13" ht="13.5" thickBot="1">
      <c r="C28" s="19" t="s">
        <v>71</v>
      </c>
      <c r="D28" s="298">
        <f>MEDIAN(D22:D25)</f>
        <v>900</v>
      </c>
      <c r="E28" s="299"/>
      <c r="F28" s="299">
        <f>MEDIAN(F22:F25)</f>
        <v>1250</v>
      </c>
      <c r="G28" s="299"/>
      <c r="H28" s="299">
        <f>MEDIAN(H22:H25)</f>
        <v>300</v>
      </c>
      <c r="I28" s="299"/>
      <c r="J28" s="156"/>
    </row>
    <row r="29" spans="2:13" ht="13.5" thickBot="1">
      <c r="C29" s="18" t="s">
        <v>18</v>
      </c>
      <c r="D29" s="298">
        <f>AVERAGEIF(E22:E25,"Y",D22:D25)</f>
        <v>1000</v>
      </c>
      <c r="E29" s="299"/>
      <c r="F29" s="299">
        <f>AVERAGEIF(G22:G25,"Y",F22:F25)</f>
        <v>1033.3333333333333</v>
      </c>
      <c r="G29" s="299"/>
      <c r="H29" s="299">
        <f>AVERAGEIF(I22:I25,"Y",H22:H25)</f>
        <v>225</v>
      </c>
      <c r="I29" s="299"/>
      <c r="J29" s="156"/>
    </row>
    <row r="30" spans="2:13" ht="13.5" customHeight="1" thickBot="1">
      <c r="C30" s="19" t="s">
        <v>17</v>
      </c>
      <c r="D30" s="301">
        <f>D29</f>
        <v>1000</v>
      </c>
      <c r="E30" s="302"/>
      <c r="F30" s="301">
        <f t="shared" ref="F30" si="0">F29</f>
        <v>1033.3333333333333</v>
      </c>
      <c r="G30" s="302"/>
      <c r="H30" s="301">
        <f t="shared" ref="H30" si="1">H29</f>
        <v>225</v>
      </c>
      <c r="I30" s="302"/>
      <c r="J30" s="157"/>
      <c r="K30" s="300" t="s">
        <v>299</v>
      </c>
      <c r="L30" s="300"/>
      <c r="M30" s="300"/>
    </row>
    <row r="31" spans="2:13" ht="13">
      <c r="C31" s="1"/>
      <c r="D31" s="3"/>
      <c r="E31" s="3"/>
      <c r="F31" s="3"/>
      <c r="G31" s="3"/>
      <c r="H31" s="3"/>
      <c r="I31" s="3"/>
      <c r="J31" s="3"/>
      <c r="K31" s="300"/>
      <c r="L31" s="300"/>
      <c r="M31" s="300"/>
    </row>
    <row r="32" spans="2:13" ht="12.65" customHeight="1">
      <c r="K32" s="300"/>
      <c r="L32" s="300"/>
      <c r="M32" s="300"/>
    </row>
    <row r="33" spans="11:13" ht="12.65" customHeight="1">
      <c r="K33" s="300"/>
      <c r="L33" s="300"/>
      <c r="M33" s="300"/>
    </row>
    <row r="34" spans="11:13" ht="12.65" customHeight="1">
      <c r="K34" s="300"/>
      <c r="L34" s="300"/>
      <c r="M34" s="300"/>
    </row>
    <row r="35" spans="11:13">
      <c r="K35" s="300"/>
      <c r="L35" s="300"/>
      <c r="M35" s="300"/>
    </row>
    <row r="36" spans="11:13">
      <c r="K36" s="300"/>
      <c r="L36" s="300"/>
      <c r="M36" s="300"/>
    </row>
  </sheetData>
  <mergeCells count="33">
    <mergeCell ref="K30:M36"/>
    <mergeCell ref="D29:E29"/>
    <mergeCell ref="F29:G29"/>
    <mergeCell ref="H29:I29"/>
    <mergeCell ref="D30:E30"/>
    <mergeCell ref="F30:G30"/>
    <mergeCell ref="H30:I30"/>
    <mergeCell ref="K21:M23"/>
    <mergeCell ref="D27:E27"/>
    <mergeCell ref="F27:G27"/>
    <mergeCell ref="H27:I27"/>
    <mergeCell ref="D28:E28"/>
    <mergeCell ref="F28:G28"/>
    <mergeCell ref="H28:I28"/>
    <mergeCell ref="D26:E26"/>
    <mergeCell ref="F26:G26"/>
    <mergeCell ref="H26:I26"/>
    <mergeCell ref="D7:J7"/>
    <mergeCell ref="D8:J8"/>
    <mergeCell ref="C10:J10"/>
    <mergeCell ref="D11:J11"/>
    <mergeCell ref="C13:J13"/>
    <mergeCell ref="D14:J14"/>
    <mergeCell ref="D15:J15"/>
    <mergeCell ref="C18:J18"/>
    <mergeCell ref="C19:J19"/>
    <mergeCell ref="C20:J20"/>
    <mergeCell ref="D6:J6"/>
    <mergeCell ref="C1:J1"/>
    <mergeCell ref="O1:Q3"/>
    <mergeCell ref="C2:J2"/>
    <mergeCell ref="D4:J4"/>
    <mergeCell ref="D5:J5"/>
  </mergeCells>
  <conditionalFormatting sqref="E22:E25 G22:G25 I22:I25">
    <cfRule type="cellIs" dxfId="53" priority="1" operator="equal">
      <formula>"N"</formula>
    </cfRule>
    <cfRule type="cellIs" dxfId="52" priority="2" operator="equal">
      <formula>"Y"</formula>
    </cfRule>
  </conditionalFormatting>
  <dataValidations count="1">
    <dataValidation type="list" allowBlank="1" showInputMessage="1" showErrorMessage="1" sqref="G22:G25 E22:E25 I22:I25" xr:uid="{B9678CB9-8F2D-4CE1-9AFE-DDAE15952D48}">
      <formula1>$B$20:$B$21</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Feuil26">
    <tabColor theme="1"/>
  </sheetPr>
  <dimension ref="B1:H48"/>
  <sheetViews>
    <sheetView zoomScale="88" zoomScaleNormal="88" workbookViewId="0">
      <selection activeCell="S63" sqref="S63"/>
    </sheetView>
  </sheetViews>
  <sheetFormatPr baseColWidth="10" defaultColWidth="11.54296875" defaultRowHeight="12.5"/>
  <cols>
    <col min="1" max="1" width="2.7265625" style="2" customWidth="1"/>
    <col min="2" max="2" width="9.7265625" style="2" customWidth="1"/>
    <col min="3" max="3" width="10.54296875" style="2" customWidth="1"/>
    <col min="4" max="4" width="7.1796875" style="2" customWidth="1"/>
    <col min="5" max="8" width="5.54296875" style="2" customWidth="1"/>
    <col min="9" max="16384" width="11.54296875" style="2"/>
  </cols>
  <sheetData>
    <row r="1" spans="2:8" ht="13" thickBot="1"/>
    <row r="2" spans="2:8" ht="19.899999999999999" customHeight="1" thickBot="1">
      <c r="B2" s="308" t="s">
        <v>80</v>
      </c>
      <c r="C2" s="309"/>
      <c r="D2" s="309"/>
      <c r="E2" s="309"/>
      <c r="F2" s="309"/>
      <c r="G2" s="309"/>
      <c r="H2" s="309"/>
    </row>
    <row r="3" spans="2:8" ht="13">
      <c r="B3" s="5"/>
      <c r="C3" s="5"/>
      <c r="D3" s="5"/>
      <c r="E3" s="4"/>
      <c r="F3" s="4"/>
      <c r="G3" s="4"/>
      <c r="H3" s="4"/>
    </row>
    <row r="4" spans="2:8" ht="13.5" thickBot="1">
      <c r="B4" s="5"/>
      <c r="C4" s="5"/>
      <c r="D4" s="5"/>
      <c r="E4" s="4"/>
      <c r="F4" s="4"/>
      <c r="G4" s="4"/>
      <c r="H4" s="4"/>
    </row>
    <row r="5" spans="2:8" ht="16.5" customHeight="1" thickBot="1">
      <c r="B5" s="305" t="s">
        <v>111</v>
      </c>
      <c r="C5" s="306"/>
      <c r="D5" s="306"/>
      <c r="E5" s="306"/>
      <c r="F5" s="306"/>
      <c r="G5" s="306"/>
      <c r="H5" s="307"/>
    </row>
    <row r="6" spans="2:8" ht="22" customHeight="1" thickBot="1">
      <c r="B6" s="20" t="s">
        <v>72</v>
      </c>
      <c r="C6" s="322" t="s">
        <v>118</v>
      </c>
      <c r="D6" s="323"/>
      <c r="E6" s="324" t="s">
        <v>239</v>
      </c>
      <c r="F6" s="303"/>
      <c r="G6" s="303" t="s">
        <v>240</v>
      </c>
      <c r="H6" s="304"/>
    </row>
    <row r="7" spans="2:8">
      <c r="B7" s="310" t="s">
        <v>0</v>
      </c>
      <c r="C7" s="312" t="s">
        <v>82</v>
      </c>
      <c r="D7" s="7" t="s">
        <v>73</v>
      </c>
      <c r="E7" s="319">
        <f>'2. &amp; 3. Weighting'!$E$26</f>
        <v>1.3599999999999999E-2</v>
      </c>
      <c r="F7" s="320"/>
      <c r="G7" s="319">
        <f>'2. &amp; 3. Weighting'!E27</f>
        <v>1.5599999999999999E-2</v>
      </c>
      <c r="H7" s="321"/>
    </row>
    <row r="8" spans="2:8" ht="13.9" customHeight="1" thickBot="1">
      <c r="B8" s="311"/>
      <c r="C8" s="313"/>
      <c r="D8" s="103" t="s">
        <v>74</v>
      </c>
      <c r="E8" s="314">
        <f>IF($C7="+",(E7-MIN($E7:$H7))/(MAX($E7:$H7)-MIN($E7:$H7)),(MAX($E7:$H7)-E7)/(MAX($E7:$H7)-MIN($E7:$H7)))</f>
        <v>1</v>
      </c>
      <c r="F8" s="315"/>
      <c r="G8" s="314">
        <f>IF($C7="+",(G7-MIN($E7:$H7))/(MAX($E7:$H7)-MIN($E7:$H7)),(MAX($E7:$H7)-G7)/(MAX($E7:$H7)-MIN($E7:$H7)))</f>
        <v>0</v>
      </c>
      <c r="H8" s="316"/>
    </row>
    <row r="9" spans="2:8" ht="13.9" customHeight="1">
      <c r="B9" s="310" t="s">
        <v>87</v>
      </c>
      <c r="C9" s="312" t="s">
        <v>82</v>
      </c>
      <c r="D9" s="7" t="s">
        <v>73</v>
      </c>
      <c r="E9" s="319">
        <f>'2. &amp; 3. Weighting'!F26</f>
        <v>4</v>
      </c>
      <c r="F9" s="320"/>
      <c r="G9" s="319">
        <f>'2. &amp; 3. Weighting'!F27</f>
        <v>469</v>
      </c>
      <c r="H9" s="321"/>
    </row>
    <row r="10" spans="2:8" ht="13.9" customHeight="1" thickBot="1">
      <c r="B10" s="311"/>
      <c r="C10" s="313"/>
      <c r="D10" s="103" t="s">
        <v>74</v>
      </c>
      <c r="E10" s="314">
        <f>IF($C9="+",(E9-MIN($E9:$H9))/(MAX($E9:$H9)-MIN($E9:$H9)),(MAX($E9:$H9)-E9)/(MAX($E9:$H9)-MIN($E9:$H9)))</f>
        <v>1</v>
      </c>
      <c r="F10" s="315"/>
      <c r="G10" s="314">
        <f>IF($C9="+",(G9-MIN($E9:$H9))/(MAX($E9:$H9)-MIN($E9:$H9)),(MAX($E9:$H9)-G9)/(MAX($E9:$H9)-MIN($E9:$H9)))</f>
        <v>0</v>
      </c>
      <c r="H10" s="316"/>
    </row>
    <row r="11" spans="2:8">
      <c r="B11" s="310" t="s">
        <v>88</v>
      </c>
      <c r="C11" s="312" t="s">
        <v>82</v>
      </c>
      <c r="D11" s="6" t="s">
        <v>73</v>
      </c>
      <c r="E11" s="319">
        <f>'2. &amp; 3. Weighting'!$G$26</f>
        <v>1</v>
      </c>
      <c r="F11" s="320"/>
      <c r="G11" s="319">
        <f>'2. &amp; 3. Weighting'!$G$27</f>
        <v>2</v>
      </c>
      <c r="H11" s="321"/>
    </row>
    <row r="12" spans="2:8" ht="13.5" thickBot="1">
      <c r="B12" s="311"/>
      <c r="C12" s="313"/>
      <c r="D12" s="6" t="s">
        <v>74</v>
      </c>
      <c r="E12" s="314">
        <f>IF($C11="+",(E11-MIN($E11:$H11))/(MAX($E11:$H11)-MIN($E11:$H11)),(MAX($E11:$H11)-E11)/(MAX($E11:$H11)-MIN($E11:$H11)))</f>
        <v>1</v>
      </c>
      <c r="F12" s="315"/>
      <c r="G12" s="314">
        <f>IF($C11="+",(G11-MIN($E11:$H11))/(MAX($E11:$H11)-MIN($E11:$H11)),(MAX($E11:$H11)-G11)/(MAX($E11:$H11)-MIN($E11:$H11)))</f>
        <v>0</v>
      </c>
      <c r="H12" s="316"/>
    </row>
    <row r="13" spans="2:8">
      <c r="B13" s="310" t="s">
        <v>76</v>
      </c>
      <c r="C13" s="312" t="s">
        <v>82</v>
      </c>
      <c r="D13" s="8" t="s">
        <v>73</v>
      </c>
      <c r="E13" s="283">
        <f>'2. &amp; 3. Weighting'!$H$26</f>
        <v>1500</v>
      </c>
      <c r="F13" s="317"/>
      <c r="G13" s="283">
        <f>'2. &amp; 3. Weighting'!$H$27</f>
        <v>840</v>
      </c>
      <c r="H13" s="318"/>
    </row>
    <row r="14" spans="2:8" ht="13.5" thickBot="1">
      <c r="B14" s="311"/>
      <c r="C14" s="313"/>
      <c r="D14" s="37" t="s">
        <v>74</v>
      </c>
      <c r="E14" s="314">
        <f>IF($C13="+",(E13-MIN($E13:$H13))/(MAX($E13:$H13)-MIN($E13:$H13)),(MAX($E13:$H13)-E13)/(MAX($E13:$H13)-MIN($E13:$H13)))</f>
        <v>0</v>
      </c>
      <c r="F14" s="315"/>
      <c r="G14" s="314">
        <f>IF($C13="+",(G13-MIN($E13:$H13))/(MAX($E13:$H13)-MIN($E13:$H13)),(MAX($E13:$H13)-G13)/(MAX($E13:$H13)-MIN($E13:$H13)))</f>
        <v>1</v>
      </c>
      <c r="H14" s="316"/>
    </row>
    <row r="15" spans="2:8">
      <c r="B15" s="310" t="s">
        <v>77</v>
      </c>
      <c r="C15" s="312" t="s">
        <v>82</v>
      </c>
      <c r="D15" s="8" t="s">
        <v>73</v>
      </c>
      <c r="E15" s="319">
        <f>'2. &amp; 3. Weighting'!$I$26</f>
        <v>2300</v>
      </c>
      <c r="F15" s="320"/>
      <c r="G15" s="319">
        <f>'2. &amp; 3. Weighting'!$I$27</f>
        <v>600</v>
      </c>
      <c r="H15" s="321"/>
    </row>
    <row r="16" spans="2:8" ht="13.5" thickBot="1">
      <c r="B16" s="311"/>
      <c r="C16" s="313"/>
      <c r="D16" s="37" t="s">
        <v>74</v>
      </c>
      <c r="E16" s="314">
        <f>IF($C15="+",(E15-MIN($E15:$H15))/(MAX($E15:$H15)-MIN($E15:$H15)),(MAX($E15:$H15)-E15)/(MAX($E15:$H15)-MIN($E15:$H15)))</f>
        <v>0</v>
      </c>
      <c r="F16" s="315"/>
      <c r="G16" s="314">
        <f>IF($C15="+",(G15-MIN($E15:$H15))/(MAX($E15:$H15)-MIN($E15:$H15)),(MAX($E15:$H15)-G15)/(MAX($E15:$H15)-MIN($E15:$H15)))</f>
        <v>1</v>
      </c>
      <c r="H16" s="316"/>
    </row>
    <row r="17" spans="2:8">
      <c r="B17" s="310" t="s">
        <v>79</v>
      </c>
      <c r="C17" s="312" t="s">
        <v>82</v>
      </c>
      <c r="D17" s="8" t="s">
        <v>73</v>
      </c>
      <c r="E17" s="319">
        <f>'2. &amp; 3. Weighting'!$J$26</f>
        <v>2</v>
      </c>
      <c r="F17" s="320"/>
      <c r="G17" s="319">
        <f>'2. &amp; 3. Weighting'!$J$27</f>
        <v>1</v>
      </c>
      <c r="H17" s="321"/>
    </row>
    <row r="18" spans="2:8" ht="13.5" thickBot="1">
      <c r="B18" s="311"/>
      <c r="C18" s="313"/>
      <c r="D18" s="37" t="s">
        <v>74</v>
      </c>
      <c r="E18" s="314">
        <f>IF($C17="+",(E17-MIN($E17:$H17))/(MAX($E17:$H17)-MIN($E17:$H17)),(MAX($E17:$H17)-E17)/(MAX($E17:$H17)-MIN($E17:$H17)))</f>
        <v>0</v>
      </c>
      <c r="F18" s="315"/>
      <c r="G18" s="314">
        <f>IF($C17="+",(G17-MIN($E17:$H17))/(MAX($E17:$H17)-MIN($E17:$H17)),(MAX($E17:$H17)-G17)/(MAX($E17:$H17)-MIN($E17:$H17)))</f>
        <v>1</v>
      </c>
      <c r="H18" s="316"/>
    </row>
    <row r="19" spans="2:8">
      <c r="B19" s="310" t="s">
        <v>78</v>
      </c>
      <c r="C19" s="312" t="s">
        <v>82</v>
      </c>
      <c r="D19" s="8" t="s">
        <v>73</v>
      </c>
      <c r="E19" s="283">
        <f>'2. &amp; 3. Weighting'!$K$26</f>
        <v>2</v>
      </c>
      <c r="F19" s="317"/>
      <c r="G19" s="283">
        <f>'2. &amp; 3. Weighting'!$K$27</f>
        <v>1</v>
      </c>
      <c r="H19" s="318"/>
    </row>
    <row r="20" spans="2:8" ht="13.5" thickBot="1">
      <c r="B20" s="311"/>
      <c r="C20" s="313"/>
      <c r="D20" s="37" t="s">
        <v>74</v>
      </c>
      <c r="E20" s="314">
        <f>IF($C19="+",(E19-MIN($E19:$H19))/(MAX($E19:$H19)-MIN($E19:$H19)),(MAX($E19:$H19)-E19)/(MAX($E19:$H19)-MIN($E19:$H19)))</f>
        <v>0</v>
      </c>
      <c r="F20" s="315"/>
      <c r="G20" s="314">
        <f>IF($C19="+",(G19-MIN($E19:$H19))/(MAX($E19:$H19)-MIN($E19:$H19)),(MAX($E19:$H19)-G19)/(MAX($E19:$H19)-MIN($E19:$H19)))</f>
        <v>1</v>
      </c>
      <c r="H20" s="316"/>
    </row>
    <row r="21" spans="2:8">
      <c r="B21" s="310" t="s">
        <v>219</v>
      </c>
      <c r="C21" s="312" t="s">
        <v>82</v>
      </c>
      <c r="D21" s="8" t="s">
        <v>73</v>
      </c>
      <c r="E21" s="283">
        <f>'2. &amp; 3. Weighting'!$L$26</f>
        <v>115</v>
      </c>
      <c r="F21" s="317"/>
      <c r="G21" s="283">
        <f>'2. &amp; 3. Weighting'!$L$27</f>
        <v>120</v>
      </c>
      <c r="H21" s="318"/>
    </row>
    <row r="22" spans="2:8" ht="13.5" thickBot="1">
      <c r="B22" s="311"/>
      <c r="C22" s="313"/>
      <c r="D22" s="37" t="s">
        <v>74</v>
      </c>
      <c r="E22" s="314">
        <f>IF($C21="+",(E21-MIN($E21:$H21))/(MAX($E21:$H21)-MIN($E21:$H21)),(MAX($E21:$H21)-E21)/(MAX($E21:$H21)-MIN($E21:$H21)))</f>
        <v>1</v>
      </c>
      <c r="F22" s="315"/>
      <c r="G22" s="314">
        <f>IF($C21="+",(G21-MIN($E21:$H21))/(MAX($E21:$H21)-MIN($E21:$H21)),(MAX($E21:$H21)-G21)/(MAX($E21:$H21)-MIN($E21:$H21)))</f>
        <v>0</v>
      </c>
      <c r="H22" s="316"/>
    </row>
    <row r="23" spans="2:8">
      <c r="B23" s="310" t="s">
        <v>112</v>
      </c>
      <c r="C23" s="312" t="s">
        <v>81</v>
      </c>
      <c r="D23" s="7" t="s">
        <v>73</v>
      </c>
      <c r="E23" s="325">
        <f>'2. &amp; 3. Weighting'!$M$26</f>
        <v>2</v>
      </c>
      <c r="F23" s="317"/>
      <c r="G23" s="325">
        <f>'2. &amp; 3. Weighting'!$M$27</f>
        <v>1</v>
      </c>
      <c r="H23" s="318"/>
    </row>
    <row r="24" spans="2:8" ht="13.5" thickBot="1">
      <c r="B24" s="311"/>
      <c r="C24" s="313"/>
      <c r="D24" s="103" t="s">
        <v>74</v>
      </c>
      <c r="E24" s="314">
        <f>IF($C23="+",(E23-MIN($E23:$H23))/(MAX($E23:$H23)-MIN($E23:$H23)),(MAX($E23:$H23)-E23)/(MAX($E23:$H23)-MIN($E23:$H23)))</f>
        <v>1</v>
      </c>
      <c r="F24" s="315"/>
      <c r="G24" s="314">
        <f>IF($C23="+",(G23-MIN($E23:$H23))/(MAX($E23:$H23)-MIN($E23:$H23)),(MAX($E23:$H23)-G23)/(MAX($E23:$H23)-MIN($E23:$H23)))</f>
        <v>0</v>
      </c>
      <c r="H24" s="316"/>
    </row>
    <row r="25" spans="2:8">
      <c r="B25" s="310" t="s">
        <v>113</v>
      </c>
      <c r="C25" s="312" t="s">
        <v>81</v>
      </c>
      <c r="D25" s="8" t="s">
        <v>73</v>
      </c>
      <c r="E25" s="326">
        <f>'2. &amp; 3. Weighting'!$N$26</f>
        <v>2</v>
      </c>
      <c r="F25" s="317"/>
      <c r="G25" s="326">
        <f>'2. &amp; 3. Weighting'!$N$27</f>
        <v>1</v>
      </c>
      <c r="H25" s="318"/>
    </row>
    <row r="26" spans="2:8" ht="13.5" thickBot="1">
      <c r="B26" s="311"/>
      <c r="C26" s="313"/>
      <c r="D26" s="37" t="s">
        <v>74</v>
      </c>
      <c r="E26" s="314">
        <f>IF($C25="+",(E25-MIN($E25:$H25))/(MAX($E25:$H25)-MIN($E25:$H25)),(MAX($E25:$H25)-E25)/(MAX($E25:$H25)-MIN($E25:$H25)))</f>
        <v>1</v>
      </c>
      <c r="F26" s="315"/>
      <c r="G26" s="314">
        <f>IF($C25="+",(G25-MIN($E25:$H25))/(MAX($E25:$H25)-MIN($E25:$H25)),(MAX($E25:$H25)-G25)/(MAX($E25:$H25)-MIN($E25:$H25)))</f>
        <v>0</v>
      </c>
      <c r="H26" s="316"/>
    </row>
    <row r="27" spans="2:8">
      <c r="B27" s="310" t="s">
        <v>115</v>
      </c>
      <c r="C27" s="312" t="s">
        <v>82</v>
      </c>
      <c r="D27" s="8" t="s">
        <v>73</v>
      </c>
      <c r="E27" s="325">
        <f>'2. &amp; 3. Weighting'!$O$26</f>
        <v>1</v>
      </c>
      <c r="F27" s="317"/>
      <c r="G27" s="325">
        <f>'2. &amp; 3. Weighting'!$O$27</f>
        <v>2</v>
      </c>
      <c r="H27" s="318"/>
    </row>
    <row r="28" spans="2:8" ht="13.5" thickBot="1">
      <c r="B28" s="311"/>
      <c r="C28" s="313"/>
      <c r="D28" s="37" t="s">
        <v>74</v>
      </c>
      <c r="E28" s="314">
        <f>IF($C27="+",(E27-MIN($E27:$H27))/(MAX($E27:$H27)-MIN($E27:$H27)),(MAX($E27:$H27)-E27)/(MAX($E27:$H27)-MIN($E27:$H27)))</f>
        <v>1</v>
      </c>
      <c r="F28" s="315"/>
      <c r="G28" s="314">
        <f>IF($C27="+",(G27-MIN($E27:$H27))/(MAX($E27:$H27)-MIN($E27:$H27)),(MAX($E27:$H27)-G27)/(MAX($E27:$H27)-MIN($E27:$H27)))</f>
        <v>0</v>
      </c>
      <c r="H28" s="316"/>
    </row>
    <row r="29" spans="2:8">
      <c r="B29" s="310" t="s">
        <v>160</v>
      </c>
      <c r="C29" s="312" t="s">
        <v>81</v>
      </c>
      <c r="D29" s="8" t="s">
        <v>73</v>
      </c>
      <c r="E29" s="325">
        <f>'2. &amp; 3. Weighting'!$P$26</f>
        <v>2</v>
      </c>
      <c r="F29" s="317"/>
      <c r="G29" s="325">
        <f>'2. &amp; 3. Weighting'!$P$27</f>
        <v>1</v>
      </c>
      <c r="H29" s="318"/>
    </row>
    <row r="30" spans="2:8" ht="13.5" thickBot="1">
      <c r="B30" s="311"/>
      <c r="C30" s="313"/>
      <c r="D30" s="37" t="s">
        <v>74</v>
      </c>
      <c r="E30" s="314">
        <f>IF($C29="+",(E29-MIN($E29:$H29))/(MAX($E29:$H29)-MIN($E29:$H29)),(MAX($E29:$H29)-E29)/(MAX($E29:$H29)-MIN($E29:$H29)))</f>
        <v>1</v>
      </c>
      <c r="F30" s="315"/>
      <c r="G30" s="314">
        <f>IF($C29="+",(G29-MIN($E29:$H29))/(MAX($E29:$H29)-MIN($E29:$H29)),(MAX($E29:$H29)-G29)/(MAX($E29:$H29)-MIN($E29:$H29)))</f>
        <v>0</v>
      </c>
      <c r="H30" s="316"/>
    </row>
    <row r="31" spans="2:8">
      <c r="B31" s="310" t="s">
        <v>161</v>
      </c>
      <c r="C31" s="312" t="s">
        <v>81</v>
      </c>
      <c r="D31" s="8" t="s">
        <v>73</v>
      </c>
      <c r="E31" s="325">
        <f>'2. &amp; 3. Weighting'!$Q$26</f>
        <v>2</v>
      </c>
      <c r="F31" s="317"/>
      <c r="G31" s="325">
        <f>'2. &amp; 3. Weighting'!$Q$27</f>
        <v>1</v>
      </c>
      <c r="H31" s="318"/>
    </row>
    <row r="32" spans="2:8" ht="13.5" thickBot="1">
      <c r="B32" s="311"/>
      <c r="C32" s="313"/>
      <c r="D32" s="37" t="s">
        <v>74</v>
      </c>
      <c r="E32" s="314">
        <f>IF($C31="+",(E31-MIN($E31:$H31))/(MAX($E31:$H31)-MIN($E31:$H31)),(MAX($E31:$H31)-E31)/(MAX($E31:$H31)-MIN($E31:$H31)))</f>
        <v>1</v>
      </c>
      <c r="F32" s="315"/>
      <c r="G32" s="314">
        <f>IF($C31="+",(G31-MIN($E31:$H31))/(MAX($E31:$H31)-MIN($E31:$H31)),(MAX($E31:$H31)-G31)/(MAX($E31:$H31)-MIN($E31:$H31)))</f>
        <v>0</v>
      </c>
      <c r="H32" s="316"/>
    </row>
    <row r="33" spans="2:8">
      <c r="B33" s="310" t="s">
        <v>75</v>
      </c>
      <c r="C33" s="312" t="s">
        <v>81</v>
      </c>
      <c r="D33" s="8" t="s">
        <v>73</v>
      </c>
      <c r="E33" s="326">
        <f>'2. &amp; 3. Weighting'!$R$26</f>
        <v>4</v>
      </c>
      <c r="F33" s="317"/>
      <c r="G33" s="326">
        <f>'2. &amp; 3. Weighting'!$R$27</f>
        <v>13</v>
      </c>
      <c r="H33" s="318"/>
    </row>
    <row r="34" spans="2:8" ht="13.5" thickBot="1">
      <c r="B34" s="311"/>
      <c r="C34" s="313"/>
      <c r="D34" s="37" t="s">
        <v>74</v>
      </c>
      <c r="E34" s="314">
        <f>IF($C33="+",(E33-MIN($E33:$H33))/(MAX($E33:$H33)-MIN($E33:$H33)),(MAX($E33:$H33)-E33)/(MAX($E33:$H33)-MIN($E33:$H33)))</f>
        <v>0</v>
      </c>
      <c r="F34" s="315"/>
      <c r="G34" s="314">
        <f>IF($C33="+",(G33-MIN($E33:$H33))/(MAX($E33:$H33)-MIN($E33:$H33)),(MAX($E33:$H33)-G33)/(MAX($E33:$H33)-MIN($E33:$H33)))</f>
        <v>1</v>
      </c>
      <c r="H34" s="316"/>
    </row>
    <row r="35" spans="2:8">
      <c r="B35" s="310" t="s">
        <v>89</v>
      </c>
      <c r="C35" s="312" t="s">
        <v>81</v>
      </c>
      <c r="D35" s="8" t="s">
        <v>73</v>
      </c>
      <c r="E35" s="325">
        <f>'2. &amp; 3. Weighting'!$S$26</f>
        <v>77</v>
      </c>
      <c r="F35" s="317"/>
      <c r="G35" s="325">
        <f>'2. &amp; 3. Weighting'!$S$27</f>
        <v>30</v>
      </c>
      <c r="H35" s="318"/>
    </row>
    <row r="36" spans="2:8" ht="13.5" thickBot="1">
      <c r="B36" s="311"/>
      <c r="C36" s="313"/>
      <c r="D36" s="37" t="s">
        <v>74</v>
      </c>
      <c r="E36" s="314">
        <f>IF($C35="+",(E35-MIN($E35:$H35))/(MAX($E35:$H35)-MIN($E35:$H35)),(MAX($E35:$H35)-E35)/(MAX($E35:$H35)-MIN($E35:$H35)))</f>
        <v>1</v>
      </c>
      <c r="F36" s="315"/>
      <c r="G36" s="314">
        <f>IF($C35="+",(G35-MIN($E35:$H35))/(MAX($E35:$H35)-MIN($E35:$H35)),(MAX($E35:$H35)-G35)/(MAX($E35:$H35)-MIN($E35:$H35)))</f>
        <v>0</v>
      </c>
      <c r="H36" s="316"/>
    </row>
    <row r="37" spans="2:8">
      <c r="B37" s="310" t="s">
        <v>83</v>
      </c>
      <c r="C37" s="312" t="s">
        <v>81</v>
      </c>
      <c r="D37" s="8" t="s">
        <v>73</v>
      </c>
      <c r="E37" s="325">
        <f>'2. &amp; 3. Weighting'!$T$26</f>
        <v>2</v>
      </c>
      <c r="F37" s="317"/>
      <c r="G37" s="325">
        <f>'2. &amp; 3. Weighting'!$T$27</f>
        <v>5</v>
      </c>
      <c r="H37" s="318"/>
    </row>
    <row r="38" spans="2:8" ht="13.5" thickBot="1">
      <c r="B38" s="311"/>
      <c r="C38" s="313"/>
      <c r="D38" s="37" t="s">
        <v>74</v>
      </c>
      <c r="E38" s="314">
        <f>IF($C37="+",(E37-MIN($E37:$H37))/(MAX($E37:$H37)-MIN($E37:$H37)),(MAX($E37:$H37)-E37)/(MAX($E37:$H37)-MIN($E37:$H37)))</f>
        <v>0</v>
      </c>
      <c r="F38" s="315"/>
      <c r="G38" s="314">
        <f>IF($C37="+",(G37-MIN($E37:$H37))/(MAX($E37:$H37)-MIN($E37:$H37)),(MAX($E37:$H37)-G37)/(MAX($E37:$H37)-MIN($E37:$H37)))</f>
        <v>1</v>
      </c>
      <c r="H38" s="316"/>
    </row>
    <row r="39" spans="2:8">
      <c r="B39" s="310" t="s">
        <v>90</v>
      </c>
      <c r="C39" s="312" t="s">
        <v>81</v>
      </c>
      <c r="D39" s="8" t="s">
        <v>73</v>
      </c>
      <c r="E39" s="319">
        <f>'2. &amp; 3. Weighting'!$U$26</f>
        <v>3</v>
      </c>
      <c r="F39" s="320"/>
      <c r="G39" s="319">
        <f>'2. &amp; 3. Weighting'!$U$27</f>
        <v>1</v>
      </c>
      <c r="H39" s="321"/>
    </row>
    <row r="40" spans="2:8" ht="13.5" thickBot="1">
      <c r="B40" s="311"/>
      <c r="C40" s="313"/>
      <c r="D40" s="37" t="s">
        <v>74</v>
      </c>
      <c r="E40" s="314">
        <f>IF($C39="+",(E39-MIN($E39:$H39))/(MAX($E39:$H39)-MIN($E39:$H39)),(MAX($E39:$H39)-E39)/(MAX($E39:$H39)-MIN($E39:$H39)))</f>
        <v>1</v>
      </c>
      <c r="F40" s="315"/>
      <c r="G40" s="314">
        <f>IF($C39="+",(G39-MIN($E39:$H39))/(MAX($E39:$H39)-MIN($E39:$H39)),(MAX($E39:$H39)-G39)/(MAX($E39:$H39)-MIN($E39:$H39)))</f>
        <v>0</v>
      </c>
      <c r="H40" s="316"/>
    </row>
    <row r="41" spans="2:8">
      <c r="B41" s="310" t="s">
        <v>141</v>
      </c>
      <c r="C41" s="312" t="s">
        <v>81</v>
      </c>
      <c r="D41" s="8" t="s">
        <v>73</v>
      </c>
      <c r="E41" s="319">
        <f>'2. &amp; 3. Weighting'!$V$26</f>
        <v>3</v>
      </c>
      <c r="F41" s="320"/>
      <c r="G41" s="319">
        <f>'2. &amp; 3. Weighting'!$V$27</f>
        <v>2</v>
      </c>
      <c r="H41" s="321"/>
    </row>
    <row r="42" spans="2:8" ht="13.5" thickBot="1">
      <c r="B42" s="311"/>
      <c r="C42" s="313"/>
      <c r="D42" s="37" t="s">
        <v>74</v>
      </c>
      <c r="E42" s="314">
        <f>IF($C41="+",(E41-MIN($E41:$H41))/(MAX($E41:$H41)-MIN($E41:$H41)),(MAX($E41:$H41)-E41)/(MAX($E41:$H41)-MIN($E41:$H41)))</f>
        <v>1</v>
      </c>
      <c r="F42" s="315"/>
      <c r="G42" s="314">
        <f>IF($C41="+",(G41-MIN($E41:$H41))/(MAX($E41:$H41)-MIN($E41:$H41)),(MAX($E41:$H41)-G41)/(MAX($E41:$H41)-MIN($E41:$H41)))</f>
        <v>0</v>
      </c>
      <c r="H42" s="316"/>
    </row>
    <row r="43" spans="2:8">
      <c r="B43" s="310" t="s">
        <v>171</v>
      </c>
      <c r="C43" s="312" t="s">
        <v>81</v>
      </c>
      <c r="D43" s="8" t="s">
        <v>73</v>
      </c>
      <c r="E43" s="319">
        <f>'2. &amp; 3. Weighting'!$W$26</f>
        <v>3</v>
      </c>
      <c r="F43" s="320"/>
      <c r="G43" s="319">
        <f>'2. &amp; 3. Weighting'!$W$27</f>
        <v>1</v>
      </c>
      <c r="H43" s="321"/>
    </row>
    <row r="44" spans="2:8" ht="13.5" thickBot="1">
      <c r="B44" s="311"/>
      <c r="C44" s="313"/>
      <c r="D44" s="37" t="s">
        <v>74</v>
      </c>
      <c r="E44" s="314">
        <f>IF($C43="+",(E43-MIN($E43:$H43))/(MAX($E43:$H43)-MIN($E43:$H43)),(MAX($E43:$H43)-E43)/(MAX($E43:$H43)-MIN($E43:$H43)))</f>
        <v>1</v>
      </c>
      <c r="F44" s="315"/>
      <c r="G44" s="314">
        <f>IF($C43="+",(G43-MIN($E43:$H43))/(MAX($E43:$H43)-MIN($E43:$H43)),(MAX($E43:$H43)-G43)/(MAX($E43:$H43)-MIN($E43:$H43)))</f>
        <v>0</v>
      </c>
      <c r="H44" s="316"/>
    </row>
    <row r="45" spans="2:8">
      <c r="B45" s="310" t="s">
        <v>172</v>
      </c>
      <c r="C45" s="312" t="s">
        <v>82</v>
      </c>
      <c r="D45" s="8" t="s">
        <v>73</v>
      </c>
      <c r="E45" s="319">
        <f>'2. &amp; 3. Weighting'!$X$26</f>
        <v>1</v>
      </c>
      <c r="F45" s="320"/>
      <c r="G45" s="319">
        <f>'2. &amp; 3. Weighting'!$X$27</f>
        <v>3</v>
      </c>
      <c r="H45" s="321"/>
    </row>
    <row r="46" spans="2:8" ht="13">
      <c r="B46" s="311"/>
      <c r="C46" s="313"/>
      <c r="D46" s="37" t="s">
        <v>74</v>
      </c>
      <c r="E46" s="314">
        <f>IF($C45="+",(E45-MIN($E45:$H45))/(MAX($E45:$H45)-MIN($E45:$H45)),(MAX($E45:$H45)-E45)/(MAX($E45:$H45)-MIN($E45:$H45)))</f>
        <v>1</v>
      </c>
      <c r="F46" s="315"/>
      <c r="G46" s="314">
        <f>IF($C45="+",(G45-MIN($E45:$H45))/(MAX($E45:$H45)-MIN($E45:$H45)),(MAX($E45:$H45)-G45)/(MAX($E45:$H45)-MIN($E45:$H45)))</f>
        <v>0</v>
      </c>
      <c r="H46" s="316"/>
    </row>
    <row r="47" spans="2:8">
      <c r="B47" s="310" t="s">
        <v>173</v>
      </c>
      <c r="C47" s="312" t="s">
        <v>82</v>
      </c>
      <c r="D47" s="8" t="s">
        <v>73</v>
      </c>
      <c r="E47" s="319">
        <f>'2. &amp; 3. Weighting'!$Y$26</f>
        <v>2</v>
      </c>
      <c r="F47" s="320"/>
      <c r="G47" s="319">
        <f>'2. &amp; 3. Weighting'!$Y$27</f>
        <v>4</v>
      </c>
      <c r="H47" s="321"/>
    </row>
    <row r="48" spans="2:8" ht="13.5" thickBot="1">
      <c r="B48" s="311"/>
      <c r="C48" s="313"/>
      <c r="D48" s="37" t="s">
        <v>74</v>
      </c>
      <c r="E48" s="314">
        <f>IF($C47="+",(E47-MIN($E47:$H47))/(MAX($E47:$H47)-MIN($E47:$H47)),(MAX($E47:$H47)-E47)/(MAX($E47:$H47)-MIN($E47:$H47)))</f>
        <v>1</v>
      </c>
      <c r="F48" s="315"/>
      <c r="G48" s="314">
        <f>IF($C47="+",(G47-MIN($E47:$H47))/(MAX($E47:$H47)-MIN($E47:$H47)),(MAX($E47:$H47)-G47)/(MAX($E47:$H47)-MIN($E47:$H47)))</f>
        <v>0</v>
      </c>
      <c r="H48" s="316"/>
    </row>
  </sheetData>
  <mergeCells count="131">
    <mergeCell ref="B47:B48"/>
    <mergeCell ref="C47:C48"/>
    <mergeCell ref="E47:F47"/>
    <mergeCell ref="G47:H47"/>
    <mergeCell ref="E48:F48"/>
    <mergeCell ref="G48:H48"/>
    <mergeCell ref="B45:B46"/>
    <mergeCell ref="C45:C46"/>
    <mergeCell ref="E45:F45"/>
    <mergeCell ref="G45:H45"/>
    <mergeCell ref="E46:F46"/>
    <mergeCell ref="G46:H46"/>
    <mergeCell ref="B11:B12"/>
    <mergeCell ref="C11:C12"/>
    <mergeCell ref="E11:F11"/>
    <mergeCell ref="G11:H11"/>
    <mergeCell ref="B9:B10"/>
    <mergeCell ref="C31:C32"/>
    <mergeCell ref="E31:F31"/>
    <mergeCell ref="G31:H31"/>
    <mergeCell ref="E32:F32"/>
    <mergeCell ref="G32:H32"/>
    <mergeCell ref="B29:B30"/>
    <mergeCell ref="C29:C30"/>
    <mergeCell ref="E29:F29"/>
    <mergeCell ref="G29:H29"/>
    <mergeCell ref="E30:F30"/>
    <mergeCell ref="G30:H30"/>
    <mergeCell ref="B25:B26"/>
    <mergeCell ref="C25:C26"/>
    <mergeCell ref="E26:F26"/>
    <mergeCell ref="G26:H26"/>
    <mergeCell ref="E25:F25"/>
    <mergeCell ref="G25:H25"/>
    <mergeCell ref="E24:F24"/>
    <mergeCell ref="G24:H24"/>
    <mergeCell ref="E44:F44"/>
    <mergeCell ref="G44:H44"/>
    <mergeCell ref="B43:B44"/>
    <mergeCell ref="C43:C44"/>
    <mergeCell ref="E43:F43"/>
    <mergeCell ref="G43:H43"/>
    <mergeCell ref="B41:B42"/>
    <mergeCell ref="C41:C42"/>
    <mergeCell ref="E41:F41"/>
    <mergeCell ref="G41:H41"/>
    <mergeCell ref="E42:F42"/>
    <mergeCell ref="G42:H42"/>
    <mergeCell ref="E40:F40"/>
    <mergeCell ref="G40:H40"/>
    <mergeCell ref="B39:B40"/>
    <mergeCell ref="C39:C40"/>
    <mergeCell ref="E39:F39"/>
    <mergeCell ref="G39:H39"/>
    <mergeCell ref="B37:B38"/>
    <mergeCell ref="C37:C38"/>
    <mergeCell ref="E38:F38"/>
    <mergeCell ref="G38:H38"/>
    <mergeCell ref="E37:F37"/>
    <mergeCell ref="G37:H37"/>
    <mergeCell ref="G34:H34"/>
    <mergeCell ref="E33:F33"/>
    <mergeCell ref="G33:H33"/>
    <mergeCell ref="E36:F36"/>
    <mergeCell ref="G36:H36"/>
    <mergeCell ref="E28:F28"/>
    <mergeCell ref="G28:H28"/>
    <mergeCell ref="B27:B28"/>
    <mergeCell ref="C27:C28"/>
    <mergeCell ref="E27:F27"/>
    <mergeCell ref="G27:H27"/>
    <mergeCell ref="B35:B36"/>
    <mergeCell ref="C35:C36"/>
    <mergeCell ref="E35:F35"/>
    <mergeCell ref="G35:H35"/>
    <mergeCell ref="B33:B34"/>
    <mergeCell ref="C33:C34"/>
    <mergeCell ref="E34:F34"/>
    <mergeCell ref="B31:B32"/>
    <mergeCell ref="B23:B24"/>
    <mergeCell ref="C23:C24"/>
    <mergeCell ref="E23:F23"/>
    <mergeCell ref="G23:H23"/>
    <mergeCell ref="B19:B20"/>
    <mergeCell ref="C19:C20"/>
    <mergeCell ref="E20:F20"/>
    <mergeCell ref="G20:H20"/>
    <mergeCell ref="E19:F19"/>
    <mergeCell ref="G19:H19"/>
    <mergeCell ref="B21:B22"/>
    <mergeCell ref="C21:C22"/>
    <mergeCell ref="E21:F21"/>
    <mergeCell ref="G21:H21"/>
    <mergeCell ref="E22:F22"/>
    <mergeCell ref="G22:H22"/>
    <mergeCell ref="E18:F18"/>
    <mergeCell ref="G18:H18"/>
    <mergeCell ref="B17:B18"/>
    <mergeCell ref="C17:C18"/>
    <mergeCell ref="E17:F17"/>
    <mergeCell ref="G17:H17"/>
    <mergeCell ref="B15:B16"/>
    <mergeCell ref="C15:C16"/>
    <mergeCell ref="E16:F16"/>
    <mergeCell ref="G16:H16"/>
    <mergeCell ref="E15:F15"/>
    <mergeCell ref="G15:H15"/>
    <mergeCell ref="G6:H6"/>
    <mergeCell ref="B5:H5"/>
    <mergeCell ref="B2:H2"/>
    <mergeCell ref="B13:B14"/>
    <mergeCell ref="C13:C14"/>
    <mergeCell ref="E8:F8"/>
    <mergeCell ref="G8:H8"/>
    <mergeCell ref="E14:F14"/>
    <mergeCell ref="G14:H14"/>
    <mergeCell ref="E13:F13"/>
    <mergeCell ref="G13:H13"/>
    <mergeCell ref="E12:F12"/>
    <mergeCell ref="G12:H12"/>
    <mergeCell ref="C9:C10"/>
    <mergeCell ref="E10:F10"/>
    <mergeCell ref="G10:H10"/>
    <mergeCell ref="E9:F9"/>
    <mergeCell ref="G9:H9"/>
    <mergeCell ref="B7:B8"/>
    <mergeCell ref="C7:C8"/>
    <mergeCell ref="E7:F7"/>
    <mergeCell ref="G7:H7"/>
    <mergeCell ref="C6:D6"/>
    <mergeCell ref="E6:F6"/>
  </mergeCells>
  <conditionalFormatting sqref="G14:H14">
    <cfRule type="colorScale" priority="1860">
      <colorScale>
        <cfvo type="min"/>
        <cfvo type="percentile" val="50"/>
        <cfvo type="max"/>
        <color rgb="FFF8696B"/>
        <color rgb="FFFFEB84"/>
        <color rgb="FF63BE7B"/>
      </colorScale>
    </cfRule>
  </conditionalFormatting>
  <conditionalFormatting sqref="G14:H14">
    <cfRule type="colorScale" priority="1859">
      <colorScale>
        <cfvo type="min"/>
        <cfvo type="percentile" val="50"/>
        <cfvo type="max"/>
        <color rgb="FFF8696B"/>
        <color rgb="FFFFEB84"/>
        <color rgb="FF63BE7B"/>
      </colorScale>
    </cfRule>
  </conditionalFormatting>
  <conditionalFormatting sqref="G14:H14">
    <cfRule type="colorScale" priority="1858">
      <colorScale>
        <cfvo type="min"/>
        <cfvo type="percentile" val="50"/>
        <cfvo type="max"/>
        <color rgb="FFF8696B"/>
        <color rgb="FFFFEB84"/>
        <color rgb="FF63BE7B"/>
      </colorScale>
    </cfRule>
  </conditionalFormatting>
  <conditionalFormatting sqref="G14:H14">
    <cfRule type="colorScale" priority="1857">
      <colorScale>
        <cfvo type="min"/>
        <cfvo type="percentile" val="50"/>
        <cfvo type="max"/>
        <color rgb="FFF8696B"/>
        <color rgb="FFFFEB84"/>
        <color rgb="FF63BE7B"/>
      </colorScale>
    </cfRule>
  </conditionalFormatting>
  <conditionalFormatting sqref="G16:H16">
    <cfRule type="colorScale" priority="1776">
      <colorScale>
        <cfvo type="min"/>
        <cfvo type="percentile" val="50"/>
        <cfvo type="max"/>
        <color rgb="FFF8696B"/>
        <color rgb="FFFFEB84"/>
        <color rgb="FF63BE7B"/>
      </colorScale>
    </cfRule>
  </conditionalFormatting>
  <conditionalFormatting sqref="G16:H16">
    <cfRule type="colorScale" priority="1775">
      <colorScale>
        <cfvo type="min"/>
        <cfvo type="percentile" val="50"/>
        <cfvo type="max"/>
        <color rgb="FFF8696B"/>
        <color rgb="FFFFEB84"/>
        <color rgb="FF63BE7B"/>
      </colorScale>
    </cfRule>
  </conditionalFormatting>
  <conditionalFormatting sqref="G16:H16">
    <cfRule type="colorScale" priority="1774">
      <colorScale>
        <cfvo type="min"/>
        <cfvo type="percentile" val="50"/>
        <cfvo type="max"/>
        <color rgb="FFF8696B"/>
        <color rgb="FFFFEB84"/>
        <color rgb="FF63BE7B"/>
      </colorScale>
    </cfRule>
  </conditionalFormatting>
  <conditionalFormatting sqref="G16:H16">
    <cfRule type="colorScale" priority="1773">
      <colorScale>
        <cfvo type="min"/>
        <cfvo type="percentile" val="50"/>
        <cfvo type="max"/>
        <color rgb="FFF8696B"/>
        <color rgb="FFFFEB84"/>
        <color rgb="FF63BE7B"/>
      </colorScale>
    </cfRule>
  </conditionalFormatting>
  <conditionalFormatting sqref="G16:H16">
    <cfRule type="colorScale" priority="1772">
      <colorScale>
        <cfvo type="min"/>
        <cfvo type="percentile" val="50"/>
        <cfvo type="max"/>
        <color rgb="FFF8696B"/>
        <color rgb="FFFFEB84"/>
        <color rgb="FF63BE7B"/>
      </colorScale>
    </cfRule>
  </conditionalFormatting>
  <conditionalFormatting sqref="G18:H18">
    <cfRule type="colorScale" priority="1724">
      <colorScale>
        <cfvo type="min"/>
        <cfvo type="percentile" val="50"/>
        <cfvo type="max"/>
        <color rgb="FFF8696B"/>
        <color rgb="FFFFEB84"/>
        <color rgb="FF63BE7B"/>
      </colorScale>
    </cfRule>
  </conditionalFormatting>
  <conditionalFormatting sqref="G18:H18">
    <cfRule type="colorScale" priority="1723">
      <colorScale>
        <cfvo type="min"/>
        <cfvo type="percentile" val="50"/>
        <cfvo type="max"/>
        <color rgb="FFF8696B"/>
        <color rgb="FFFFEB84"/>
        <color rgb="FF63BE7B"/>
      </colorScale>
    </cfRule>
  </conditionalFormatting>
  <conditionalFormatting sqref="G18:H18">
    <cfRule type="colorScale" priority="1722">
      <colorScale>
        <cfvo type="min"/>
        <cfvo type="percentile" val="50"/>
        <cfvo type="max"/>
        <color rgb="FFF8696B"/>
        <color rgb="FFFFEB84"/>
        <color rgb="FF63BE7B"/>
      </colorScale>
    </cfRule>
  </conditionalFormatting>
  <conditionalFormatting sqref="G18:H18">
    <cfRule type="colorScale" priority="1721">
      <colorScale>
        <cfvo type="min"/>
        <cfvo type="percentile" val="50"/>
        <cfvo type="max"/>
        <color rgb="FFF8696B"/>
        <color rgb="FFFFEB84"/>
        <color rgb="FF63BE7B"/>
      </colorScale>
    </cfRule>
  </conditionalFormatting>
  <conditionalFormatting sqref="G18:H18">
    <cfRule type="colorScale" priority="1720">
      <colorScale>
        <cfvo type="min"/>
        <cfvo type="percentile" val="50"/>
        <cfvo type="max"/>
        <color rgb="FFF8696B"/>
        <color rgb="FFFFEB84"/>
        <color rgb="FF63BE7B"/>
      </colorScale>
    </cfRule>
  </conditionalFormatting>
  <conditionalFormatting sqref="G20:H20 G22:H22">
    <cfRule type="colorScale" priority="1657">
      <colorScale>
        <cfvo type="min"/>
        <cfvo type="percentile" val="50"/>
        <cfvo type="max"/>
        <color rgb="FFF8696B"/>
        <color rgb="FFFFEB84"/>
        <color rgb="FF63BE7B"/>
      </colorScale>
    </cfRule>
  </conditionalFormatting>
  <conditionalFormatting sqref="G20:H20">
    <cfRule type="colorScale" priority="1656">
      <colorScale>
        <cfvo type="min"/>
        <cfvo type="percentile" val="50"/>
        <cfvo type="max"/>
        <color rgb="FFF8696B"/>
        <color rgb="FFFFEB84"/>
        <color rgb="FF63BE7B"/>
      </colorScale>
    </cfRule>
  </conditionalFormatting>
  <conditionalFormatting sqref="G20:H20">
    <cfRule type="colorScale" priority="1655">
      <colorScale>
        <cfvo type="min"/>
        <cfvo type="percentile" val="50"/>
        <cfvo type="max"/>
        <color rgb="FFF8696B"/>
        <color rgb="FFFFEB84"/>
        <color rgb="FF63BE7B"/>
      </colorScale>
    </cfRule>
  </conditionalFormatting>
  <conditionalFormatting sqref="G20:H20">
    <cfRule type="colorScale" priority="1654">
      <colorScale>
        <cfvo type="min"/>
        <cfvo type="percentile" val="50"/>
        <cfvo type="max"/>
        <color rgb="FFF8696B"/>
        <color rgb="FFFFEB84"/>
        <color rgb="FF63BE7B"/>
      </colorScale>
    </cfRule>
  </conditionalFormatting>
  <conditionalFormatting sqref="G20:H20">
    <cfRule type="colorScale" priority="1653">
      <colorScale>
        <cfvo type="min"/>
        <cfvo type="percentile" val="50"/>
        <cfvo type="max"/>
        <color rgb="FFF8696B"/>
        <color rgb="FFFFEB84"/>
        <color rgb="FF63BE7B"/>
      </colorScale>
    </cfRule>
  </conditionalFormatting>
  <conditionalFormatting sqref="G20:H20">
    <cfRule type="colorScale" priority="1652">
      <colorScale>
        <cfvo type="min"/>
        <cfvo type="percentile" val="50"/>
        <cfvo type="max"/>
        <color rgb="FFF8696B"/>
        <color rgb="FFFFEB84"/>
        <color rgb="FF63BE7B"/>
      </colorScale>
    </cfRule>
  </conditionalFormatting>
  <conditionalFormatting sqref="G24:H24">
    <cfRule type="colorScale" priority="1588">
      <colorScale>
        <cfvo type="min"/>
        <cfvo type="percentile" val="50"/>
        <cfvo type="max"/>
        <color rgb="FFF8696B"/>
        <color rgb="FFFFEB84"/>
        <color rgb="FF63BE7B"/>
      </colorScale>
    </cfRule>
  </conditionalFormatting>
  <conditionalFormatting sqref="G24:H24">
    <cfRule type="colorScale" priority="1587">
      <colorScale>
        <cfvo type="min"/>
        <cfvo type="percentile" val="50"/>
        <cfvo type="max"/>
        <color rgb="FFF8696B"/>
        <color rgb="FFFFEB84"/>
        <color rgb="FF63BE7B"/>
      </colorScale>
    </cfRule>
  </conditionalFormatting>
  <conditionalFormatting sqref="G24:H24">
    <cfRule type="colorScale" priority="1586">
      <colorScale>
        <cfvo type="min"/>
        <cfvo type="percentile" val="50"/>
        <cfvo type="max"/>
        <color rgb="FFF8696B"/>
        <color rgb="FFFFEB84"/>
        <color rgb="FF63BE7B"/>
      </colorScale>
    </cfRule>
  </conditionalFormatting>
  <conditionalFormatting sqref="G24:H24">
    <cfRule type="colorScale" priority="1585">
      <colorScale>
        <cfvo type="min"/>
        <cfvo type="percentile" val="50"/>
        <cfvo type="max"/>
        <color rgb="FFF8696B"/>
        <color rgb="FFFFEB84"/>
        <color rgb="FF63BE7B"/>
      </colorScale>
    </cfRule>
  </conditionalFormatting>
  <conditionalFormatting sqref="G24:H24">
    <cfRule type="colorScale" priority="1584">
      <colorScale>
        <cfvo type="min"/>
        <cfvo type="percentile" val="50"/>
        <cfvo type="max"/>
        <color rgb="FFF8696B"/>
        <color rgb="FFFFEB84"/>
        <color rgb="FF63BE7B"/>
      </colorScale>
    </cfRule>
  </conditionalFormatting>
  <conditionalFormatting sqref="G24:H24">
    <cfRule type="colorScale" priority="1583">
      <colorScale>
        <cfvo type="min"/>
        <cfvo type="percentile" val="50"/>
        <cfvo type="max"/>
        <color rgb="FFF8696B"/>
        <color rgb="FFFFEB84"/>
        <color rgb="FF63BE7B"/>
      </colorScale>
    </cfRule>
  </conditionalFormatting>
  <conditionalFormatting sqref="G24:H24">
    <cfRule type="colorScale" priority="1582">
      <colorScale>
        <cfvo type="min"/>
        <cfvo type="percentile" val="50"/>
        <cfvo type="max"/>
        <color rgb="FFF8696B"/>
        <color rgb="FFFFEB84"/>
        <color rgb="FF63BE7B"/>
      </colorScale>
    </cfRule>
  </conditionalFormatting>
  <conditionalFormatting sqref="E14:H14">
    <cfRule type="colorScale" priority="2500">
      <colorScale>
        <cfvo type="min"/>
        <cfvo type="percentile" val="50"/>
        <cfvo type="max"/>
        <color rgb="FFF8696B"/>
        <color rgb="FFFFEB84"/>
        <color rgb="FF63BE7B"/>
      </colorScale>
    </cfRule>
  </conditionalFormatting>
  <conditionalFormatting sqref="E16:H16">
    <cfRule type="colorScale" priority="2505">
      <colorScale>
        <cfvo type="min"/>
        <cfvo type="percentile" val="50"/>
        <cfvo type="max"/>
        <color rgb="FFF8696B"/>
        <color rgb="FFFFEB84"/>
        <color rgb="FF63BE7B"/>
      </colorScale>
    </cfRule>
  </conditionalFormatting>
  <conditionalFormatting sqref="E18:H18">
    <cfRule type="colorScale" priority="2511">
      <colorScale>
        <cfvo type="min"/>
        <cfvo type="percentile" val="50"/>
        <cfvo type="max"/>
        <color rgb="FFF8696B"/>
        <color rgb="FFFFEB84"/>
        <color rgb="FF63BE7B"/>
      </colorScale>
    </cfRule>
  </conditionalFormatting>
  <conditionalFormatting sqref="E20:H20 E22:H22">
    <cfRule type="colorScale" priority="2517">
      <colorScale>
        <cfvo type="min"/>
        <cfvo type="percentile" val="50"/>
        <cfvo type="max"/>
        <color rgb="FFF8696B"/>
        <color rgb="FFFFEB84"/>
        <color rgb="FF63BE7B"/>
      </colorScale>
    </cfRule>
  </conditionalFormatting>
  <conditionalFormatting sqref="E24:H24">
    <cfRule type="colorScale" priority="2531">
      <colorScale>
        <cfvo type="min"/>
        <cfvo type="percentile" val="50"/>
        <cfvo type="max"/>
        <color rgb="FFF8696B"/>
        <color rgb="FFFFEB84"/>
        <color rgb="FF63BE7B"/>
      </colorScale>
    </cfRule>
  </conditionalFormatting>
  <conditionalFormatting sqref="E26:H26">
    <cfRule type="colorScale" priority="2539">
      <colorScale>
        <cfvo type="min"/>
        <cfvo type="percentile" val="50"/>
        <cfvo type="max"/>
        <color rgb="FFF8696B"/>
        <color rgb="FFFFEB84"/>
        <color rgb="FF63BE7B"/>
      </colorScale>
    </cfRule>
  </conditionalFormatting>
  <conditionalFormatting sqref="E28:H28 E32:H32">
    <cfRule type="colorScale" priority="2548">
      <colorScale>
        <cfvo type="min"/>
        <cfvo type="percentile" val="50"/>
        <cfvo type="max"/>
        <color rgb="FFF8696B"/>
        <color rgb="FFFFEB84"/>
        <color rgb="FF63BE7B"/>
      </colorScale>
    </cfRule>
  </conditionalFormatting>
  <conditionalFormatting sqref="E28:H28">
    <cfRule type="colorScale" priority="2550">
      <colorScale>
        <cfvo type="min"/>
        <cfvo type="percentile" val="50"/>
        <cfvo type="max"/>
        <color rgb="FFF8696B"/>
        <color rgb="FFFFEB84"/>
        <color rgb="FF63BE7B"/>
      </colorScale>
    </cfRule>
  </conditionalFormatting>
  <conditionalFormatting sqref="E34:H34">
    <cfRule type="colorScale" priority="2559">
      <colorScale>
        <cfvo type="min"/>
        <cfvo type="percentile" val="50"/>
        <cfvo type="max"/>
        <color rgb="FFF8696B"/>
        <color rgb="FFFFEB84"/>
        <color rgb="FF63BE7B"/>
      </colorScale>
    </cfRule>
  </conditionalFormatting>
  <conditionalFormatting sqref="E36:H36">
    <cfRule type="colorScale" priority="2570">
      <colorScale>
        <cfvo type="min"/>
        <cfvo type="percentile" val="50"/>
        <cfvo type="max"/>
        <color rgb="FFF8696B"/>
        <color rgb="FFFFEB84"/>
        <color rgb="FF63BE7B"/>
      </colorScale>
    </cfRule>
  </conditionalFormatting>
  <conditionalFormatting sqref="E38:H38">
    <cfRule type="colorScale" priority="2582">
      <colorScale>
        <cfvo type="min"/>
        <cfvo type="percentile" val="50"/>
        <cfvo type="max"/>
        <color rgb="FFF8696B"/>
        <color rgb="FFFFEB84"/>
        <color rgb="FF63BE7B"/>
      </colorScale>
    </cfRule>
  </conditionalFormatting>
  <conditionalFormatting sqref="E40:H40">
    <cfRule type="colorScale" priority="2595">
      <colorScale>
        <cfvo type="min"/>
        <cfvo type="percentile" val="50"/>
        <cfvo type="max"/>
        <color rgb="FFF8696B"/>
        <color rgb="FFFFEB84"/>
        <color rgb="FF63BE7B"/>
      </colorScale>
    </cfRule>
  </conditionalFormatting>
  <conditionalFormatting sqref="E42:H42">
    <cfRule type="colorScale" priority="2609">
      <colorScale>
        <cfvo type="min"/>
        <cfvo type="percentile" val="50"/>
        <cfvo type="max"/>
        <color rgb="FFF8696B"/>
        <color rgb="FFFFEB84"/>
        <color rgb="FF63BE7B"/>
      </colorScale>
    </cfRule>
  </conditionalFormatting>
  <conditionalFormatting sqref="E44:H44 E46:H46 E48:H48">
    <cfRule type="colorScale" priority="2624">
      <colorScale>
        <cfvo type="min"/>
        <cfvo type="percentile" val="50"/>
        <cfvo type="max"/>
        <color rgb="FFF8696B"/>
        <color rgb="FFFFEB84"/>
        <color rgb="FF63BE7B"/>
      </colorScale>
    </cfRule>
  </conditionalFormatting>
  <conditionalFormatting sqref="E44:H44">
    <cfRule type="colorScale" priority="2627">
      <colorScale>
        <cfvo type="min"/>
        <cfvo type="percentile" val="50"/>
        <cfvo type="max"/>
        <color rgb="FFF8696B"/>
        <color rgb="FFFFEB84"/>
        <color rgb="FF63BE7B"/>
      </colorScale>
    </cfRule>
  </conditionalFormatting>
  <conditionalFormatting sqref="E30:H30">
    <cfRule type="colorScale" priority="2643">
      <colorScale>
        <cfvo type="min"/>
        <cfvo type="percentile" val="50"/>
        <cfvo type="max"/>
        <color rgb="FFF8696B"/>
        <color rgb="FFFFEB84"/>
        <color rgb="FF63BE7B"/>
      </colorScale>
    </cfRule>
  </conditionalFormatting>
  <conditionalFormatting sqref="E8:H8">
    <cfRule type="colorScale" priority="2652">
      <colorScale>
        <cfvo type="min"/>
        <cfvo type="percentile" val="50"/>
        <cfvo type="max"/>
        <color rgb="FFF8696B"/>
        <color rgb="FFFFEB84"/>
        <color rgb="FF63BE7B"/>
      </colorScale>
    </cfRule>
  </conditionalFormatting>
  <conditionalFormatting sqref="E10:H10">
    <cfRule type="colorScale" priority="2653">
      <colorScale>
        <cfvo type="min"/>
        <cfvo type="percentile" val="50"/>
        <cfvo type="max"/>
        <color rgb="FFF8696B"/>
        <color rgb="FFFFEB84"/>
        <color rgb="FF63BE7B"/>
      </colorScale>
    </cfRule>
  </conditionalFormatting>
  <conditionalFormatting sqref="E12:H12">
    <cfRule type="colorScale" priority="2654">
      <colorScale>
        <cfvo type="min"/>
        <cfvo type="percentile" val="50"/>
        <cfvo type="max"/>
        <color rgb="FFF8696B"/>
        <color rgb="FFFFEB84"/>
        <color rgb="FF63BE7B"/>
      </colorScale>
    </cfRule>
  </conditionalFormatting>
  <conditionalFormatting sqref="E8:H8">
    <cfRule type="colorScale" priority="2655">
      <colorScale>
        <cfvo type="min"/>
        <cfvo type="percentile" val="50"/>
        <cfvo type="max"/>
        <color rgb="FF63BE7B"/>
        <color rgb="FFFFEB84"/>
        <color rgb="FFF8696B"/>
      </colorScale>
    </cfRule>
  </conditionalFormatting>
  <conditionalFormatting sqref="E32:H32">
    <cfRule type="colorScale" priority="2676">
      <colorScale>
        <cfvo type="min"/>
        <cfvo type="percentile" val="50"/>
        <cfvo type="max"/>
        <color rgb="FFF8696B"/>
        <color rgb="FFFFEB84"/>
        <color rgb="FF63BE7B"/>
      </colorScale>
    </cfRule>
  </conditionalFormatting>
  <conditionalFormatting sqref="E46:H46">
    <cfRule type="colorScale" priority="2678">
      <colorScale>
        <cfvo type="min"/>
        <cfvo type="percentile" val="50"/>
        <cfvo type="max"/>
        <color rgb="FFF8696B"/>
        <color rgb="FFFFEB84"/>
        <color rgb="FF63BE7B"/>
      </colorScale>
    </cfRule>
  </conditionalFormatting>
  <conditionalFormatting sqref="E48:H48">
    <cfRule type="colorScale" priority="2679">
      <colorScale>
        <cfvo type="min"/>
        <cfvo type="percentile" val="50"/>
        <cfvo type="max"/>
        <color rgb="FFF8696B"/>
        <color rgb="FFFFEB84"/>
        <color rgb="FF63BE7B"/>
      </colorScale>
    </cfRule>
  </conditionalFormatting>
  <conditionalFormatting sqref="E20:H20">
    <cfRule type="colorScale" priority="2680">
      <colorScale>
        <cfvo type="min"/>
        <cfvo type="percentile" val="50"/>
        <cfvo type="max"/>
        <color rgb="FFF8696B"/>
        <color rgb="FFFFEB84"/>
        <color rgb="FF63BE7B"/>
      </colorScale>
    </cfRule>
  </conditionalFormatting>
  <conditionalFormatting sqref="E22:H22">
    <cfRule type="colorScale" priority="2681">
      <colorScale>
        <cfvo type="min"/>
        <cfvo type="percentile" val="50"/>
        <cfvo type="max"/>
        <color rgb="FFF8696B"/>
        <color rgb="FFFFEB84"/>
        <color rgb="FF63BE7B"/>
      </colorScale>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Feuil27">
    <tabColor theme="2" tint="-0.749992370372631"/>
  </sheetPr>
  <dimension ref="A2:K79"/>
  <sheetViews>
    <sheetView topLeftCell="A20" zoomScaleNormal="100" workbookViewId="0">
      <selection activeCell="E51" sqref="E51"/>
    </sheetView>
  </sheetViews>
  <sheetFormatPr baseColWidth="10" defaultColWidth="11.54296875" defaultRowHeight="12.5"/>
  <cols>
    <col min="1" max="16384" width="11.54296875" style="3"/>
  </cols>
  <sheetData>
    <row r="2" spans="1:11">
      <c r="E2" s="3" t="str">
        <f>'1. Criteria'!C5</f>
        <v>Electric Boda</v>
      </c>
      <c r="F2" s="3" t="str">
        <f>'1. Criteria'!C6</f>
        <v>ICE 150 CC</v>
      </c>
    </row>
    <row r="3" spans="1:11">
      <c r="B3" s="3" t="s">
        <v>0</v>
      </c>
      <c r="C3" s="3">
        <f>IF('1. Criteria'!F14="Y",'2. &amp; 3. Weighting'!$E$15,0)</f>
        <v>1</v>
      </c>
      <c r="D3" s="3" t="s">
        <v>97</v>
      </c>
      <c r="E3" s="45">
        <f>Normalization!E8</f>
        <v>1</v>
      </c>
      <c r="F3" s="45">
        <f>Normalization!G8</f>
        <v>0</v>
      </c>
    </row>
    <row r="4" spans="1:11" ht="50">
      <c r="D4" s="3" t="s">
        <v>119</v>
      </c>
      <c r="E4" s="45">
        <f>$C$3*E3</f>
        <v>1</v>
      </c>
      <c r="F4" s="45">
        <f>$C$3*F3</f>
        <v>0</v>
      </c>
      <c r="I4" s="129" t="s">
        <v>157</v>
      </c>
      <c r="K4" s="3" t="s">
        <v>242</v>
      </c>
    </row>
    <row r="5" spans="1:11">
      <c r="B5" s="3" t="s">
        <v>87</v>
      </c>
      <c r="C5" s="3">
        <f>IF('1. Criteria'!F15="Y",'2. &amp; 3. Weighting'!$F$15,0)</f>
        <v>1</v>
      </c>
      <c r="D5" s="3" t="s">
        <v>97</v>
      </c>
      <c r="E5" s="45">
        <f>Normalization!E10</f>
        <v>1</v>
      </c>
      <c r="F5" s="45">
        <f>Normalization!G10</f>
        <v>0</v>
      </c>
    </row>
    <row r="6" spans="1:11">
      <c r="D6" s="3" t="s">
        <v>119</v>
      </c>
      <c r="E6" s="45">
        <f>$C$5*E5</f>
        <v>1</v>
      </c>
      <c r="F6" s="45">
        <f>$C$5*F5</f>
        <v>0</v>
      </c>
    </row>
    <row r="7" spans="1:11">
      <c r="B7" s="3" t="s">
        <v>88</v>
      </c>
      <c r="C7" s="3">
        <f>IF('1. Criteria'!F16="Y",'2. &amp; 3. Weighting'!$G$15,0)</f>
        <v>1</v>
      </c>
      <c r="D7" s="3" t="s">
        <v>97</v>
      </c>
      <c r="E7" s="45">
        <f>Normalization!E12</f>
        <v>1</v>
      </c>
      <c r="F7" s="45">
        <f>Normalization!G12</f>
        <v>0</v>
      </c>
    </row>
    <row r="8" spans="1:11" ht="14.5" customHeight="1">
      <c r="D8" s="3" t="s">
        <v>119</v>
      </c>
      <c r="E8" s="45">
        <f>$C$7*E7</f>
        <v>1</v>
      </c>
      <c r="F8" s="45">
        <f>$C$7*F7</f>
        <v>0</v>
      </c>
    </row>
    <row r="9" spans="1:11" ht="13.9" customHeight="1">
      <c r="B9" s="3" t="s">
        <v>76</v>
      </c>
      <c r="C9" s="3">
        <f>IF('1. Criteria'!F17="Y",'2. &amp; 3. Weighting'!$H$15,0)</f>
        <v>1</v>
      </c>
      <c r="D9" s="3" t="s">
        <v>97</v>
      </c>
      <c r="E9" s="45">
        <f>Normalization!E14</f>
        <v>0</v>
      </c>
      <c r="F9" s="45">
        <f>Normalization!G14</f>
        <v>1</v>
      </c>
    </row>
    <row r="10" spans="1:11" ht="13.9" customHeight="1">
      <c r="D10" s="3" t="s">
        <v>119</v>
      </c>
      <c r="E10" s="45">
        <f>$C$9*E9</f>
        <v>0</v>
      </c>
      <c r="F10" s="45">
        <f>$C$9*F9</f>
        <v>1</v>
      </c>
    </row>
    <row r="11" spans="1:11" ht="13.9" customHeight="1">
      <c r="B11" s="3" t="s">
        <v>77</v>
      </c>
      <c r="C11" s="3">
        <f>IF('1. Criteria'!F18="Y",'2. &amp; 3. Weighting'!$I$15,0)</f>
        <v>0</v>
      </c>
      <c r="D11" s="3" t="s">
        <v>97</v>
      </c>
      <c r="E11" s="45">
        <f>Normalization!E16</f>
        <v>0</v>
      </c>
      <c r="F11" s="45">
        <f>Normalization!G16</f>
        <v>1</v>
      </c>
    </row>
    <row r="12" spans="1:11" ht="15" customHeight="1">
      <c r="A12" s="3">
        <v>1</v>
      </c>
      <c r="D12" s="3" t="s">
        <v>119</v>
      </c>
      <c r="E12" s="45">
        <f>$C$11*E11</f>
        <v>0</v>
      </c>
      <c r="F12" s="45">
        <f>$C$11*F11</f>
        <v>0</v>
      </c>
    </row>
    <row r="13" spans="1:11" ht="13.9" customHeight="1">
      <c r="A13" s="3">
        <v>2</v>
      </c>
      <c r="B13" s="3" t="s">
        <v>79</v>
      </c>
      <c r="C13" s="3">
        <f>IF('1. Criteria'!F19="Y",'2. &amp; 3. Weighting'!$J$15,0)</f>
        <v>1</v>
      </c>
      <c r="D13" s="3" t="s">
        <v>97</v>
      </c>
      <c r="E13" s="45">
        <f>Normalization!E18</f>
        <v>0</v>
      </c>
      <c r="F13" s="45">
        <f>Normalization!G18</f>
        <v>1</v>
      </c>
    </row>
    <row r="14" spans="1:11" ht="13.9" customHeight="1">
      <c r="A14" s="3">
        <v>3</v>
      </c>
      <c r="D14" s="3" t="s">
        <v>119</v>
      </c>
      <c r="E14" s="45">
        <f>$C$13*E13</f>
        <v>0</v>
      </c>
      <c r="F14" s="45">
        <f>$C$13*F13</f>
        <v>1</v>
      </c>
    </row>
    <row r="15" spans="1:11">
      <c r="B15" s="3" t="s">
        <v>78</v>
      </c>
      <c r="C15" s="3">
        <f>IF('1. Criteria'!F20="Y",'2. &amp; 3. Weighting'!$K$15,0)</f>
        <v>1</v>
      </c>
      <c r="D15" s="3" t="s">
        <v>97</v>
      </c>
      <c r="E15" s="45">
        <f>Normalization!E20</f>
        <v>0</v>
      </c>
      <c r="F15" s="45">
        <f>Normalization!G20</f>
        <v>1</v>
      </c>
    </row>
    <row r="16" spans="1:11" ht="15" customHeight="1">
      <c r="D16" s="3" t="s">
        <v>119</v>
      </c>
      <c r="E16" s="45">
        <f>$C$15*E15</f>
        <v>0</v>
      </c>
      <c r="F16" s="45">
        <f>$C$15*F15</f>
        <v>1</v>
      </c>
    </row>
    <row r="17" spans="2:6" ht="15" customHeight="1">
      <c r="B17" s="3" t="s">
        <v>219</v>
      </c>
      <c r="C17" s="3">
        <f>IF('1. Criteria'!F21="Y",'2. &amp; 3. Weighting'!$L$15,0)</f>
        <v>0</v>
      </c>
      <c r="D17" s="3" t="s">
        <v>97</v>
      </c>
      <c r="E17" s="45">
        <f>Normalization!E22</f>
        <v>1</v>
      </c>
      <c r="F17" s="45">
        <f>Normalization!G22</f>
        <v>0</v>
      </c>
    </row>
    <row r="18" spans="2:6" ht="15" customHeight="1">
      <c r="D18" s="3" t="s">
        <v>119</v>
      </c>
      <c r="E18" s="45">
        <f>$C$15*E17</f>
        <v>1</v>
      </c>
      <c r="F18" s="45">
        <f>$C$15*F17</f>
        <v>0</v>
      </c>
    </row>
    <row r="19" spans="2:6">
      <c r="B19" s="3" t="s">
        <v>112</v>
      </c>
      <c r="C19" s="3">
        <f>IF('1. Criteria'!F22="Y",'2. &amp; 3. Weighting'!$M$15,0)</f>
        <v>1</v>
      </c>
      <c r="D19" s="3" t="s">
        <v>97</v>
      </c>
      <c r="E19" s="45">
        <f>Normalization!E24</f>
        <v>1</v>
      </c>
      <c r="F19" s="45">
        <f>Normalization!G24</f>
        <v>0</v>
      </c>
    </row>
    <row r="20" spans="2:6" ht="15" customHeight="1">
      <c r="D20" s="3" t="s">
        <v>119</v>
      </c>
      <c r="E20" s="45">
        <f>$C$19*E19</f>
        <v>1</v>
      </c>
      <c r="F20" s="45">
        <f>$C$19*F19</f>
        <v>0</v>
      </c>
    </row>
    <row r="21" spans="2:6">
      <c r="B21" s="3" t="s">
        <v>113</v>
      </c>
      <c r="C21" s="3">
        <f>IF('1. Criteria'!F23="Y",'2. &amp; 3. Weighting'!$N$15,0)</f>
        <v>1</v>
      </c>
      <c r="D21" s="3" t="s">
        <v>97</v>
      </c>
      <c r="E21" s="45">
        <f>Normalization!E26</f>
        <v>1</v>
      </c>
      <c r="F21" s="45">
        <f>Normalization!G26</f>
        <v>0</v>
      </c>
    </row>
    <row r="22" spans="2:6" ht="15" customHeight="1">
      <c r="D22" s="3" t="s">
        <v>119</v>
      </c>
      <c r="E22" s="45">
        <f>$C$21*E21</f>
        <v>1</v>
      </c>
      <c r="F22" s="45">
        <f>$C$21*F21</f>
        <v>0</v>
      </c>
    </row>
    <row r="23" spans="2:6">
      <c r="B23" s="3" t="s">
        <v>115</v>
      </c>
      <c r="C23" s="3">
        <f>IF('1. Criteria'!F24="Y",'2. &amp; 3. Weighting'!$O$15,0)</f>
        <v>1</v>
      </c>
      <c r="D23" s="3" t="s">
        <v>97</v>
      </c>
      <c r="E23" s="45">
        <f>Normalization!E28</f>
        <v>1</v>
      </c>
      <c r="F23" s="45">
        <f>Normalization!G28</f>
        <v>0</v>
      </c>
    </row>
    <row r="24" spans="2:6" ht="15" customHeight="1">
      <c r="D24" s="3" t="s">
        <v>119</v>
      </c>
      <c r="E24" s="45">
        <f>$C$23*E23</f>
        <v>1</v>
      </c>
      <c r="F24" s="45">
        <f>$C$23*F23</f>
        <v>0</v>
      </c>
    </row>
    <row r="25" spans="2:6" ht="15" customHeight="1">
      <c r="B25" s="3" t="s">
        <v>160</v>
      </c>
      <c r="C25" s="3">
        <f>IF('1. Criteria'!F25="Y",'2. &amp; 3. Weighting'!$P$15,0)</f>
        <v>1</v>
      </c>
      <c r="D25" s="3" t="s">
        <v>97</v>
      </c>
      <c r="E25" s="45">
        <f>Normalization!E30</f>
        <v>1</v>
      </c>
      <c r="F25" s="45">
        <f>Normalization!G30</f>
        <v>0</v>
      </c>
    </row>
    <row r="26" spans="2:6" ht="15" customHeight="1">
      <c r="D26" s="3" t="s">
        <v>119</v>
      </c>
      <c r="E26" s="45">
        <f>$C$25*E25</f>
        <v>1</v>
      </c>
      <c r="F26" s="45">
        <f>$C$25*F25</f>
        <v>0</v>
      </c>
    </row>
    <row r="27" spans="2:6" ht="15" customHeight="1">
      <c r="B27" s="3" t="s">
        <v>161</v>
      </c>
      <c r="C27" s="3">
        <f>IF('1. Criteria'!F26="Y",'2. &amp; 3. Weighting'!$Q$15,0)</f>
        <v>1</v>
      </c>
      <c r="D27" s="3" t="s">
        <v>97</v>
      </c>
      <c r="E27" s="45">
        <f>Normalization!E32</f>
        <v>1</v>
      </c>
      <c r="F27" s="45">
        <f>Normalization!G32</f>
        <v>0</v>
      </c>
    </row>
    <row r="28" spans="2:6" ht="15" customHeight="1">
      <c r="D28" s="3" t="s">
        <v>119</v>
      </c>
      <c r="E28" s="45">
        <f>$C$27*E27</f>
        <v>1</v>
      </c>
      <c r="F28" s="45">
        <f>$C$27*F27</f>
        <v>0</v>
      </c>
    </row>
    <row r="29" spans="2:6">
      <c r="B29" s="3" t="s">
        <v>75</v>
      </c>
      <c r="C29" s="3">
        <f>IF('1. Criteria'!F27="Y",'2. &amp; 3. Weighting'!$R$15,0)</f>
        <v>1</v>
      </c>
      <c r="D29" s="3" t="s">
        <v>97</v>
      </c>
      <c r="E29" s="45">
        <f>Normalization!E34</f>
        <v>0</v>
      </c>
      <c r="F29" s="45">
        <f>Normalization!G34</f>
        <v>1</v>
      </c>
    </row>
    <row r="30" spans="2:6" ht="15" customHeight="1">
      <c r="D30" s="3" t="s">
        <v>119</v>
      </c>
      <c r="E30" s="45">
        <f>$C$29*E29</f>
        <v>0</v>
      </c>
      <c r="F30" s="45">
        <f>$C$29*F29</f>
        <v>1</v>
      </c>
    </row>
    <row r="31" spans="2:6">
      <c r="B31" s="3" t="s">
        <v>89</v>
      </c>
      <c r="C31" s="3">
        <f>IF('1. Criteria'!F28="Y",'2. &amp; 3. Weighting'!$S$15,0)</f>
        <v>1</v>
      </c>
      <c r="D31" s="3" t="s">
        <v>97</v>
      </c>
      <c r="E31" s="45">
        <f>Normalization!E36</f>
        <v>1</v>
      </c>
      <c r="F31" s="45">
        <f>Normalization!G36</f>
        <v>0</v>
      </c>
    </row>
    <row r="32" spans="2:6" ht="15" customHeight="1">
      <c r="D32" s="3" t="s">
        <v>119</v>
      </c>
      <c r="E32" s="45">
        <f>$C$31*E31</f>
        <v>1</v>
      </c>
      <c r="F32" s="45">
        <f>$C$31*F31</f>
        <v>0</v>
      </c>
    </row>
    <row r="33" spans="2:8">
      <c r="B33" s="3" t="s">
        <v>83</v>
      </c>
      <c r="C33" s="3">
        <f>IF('1. Criteria'!F29="Y",'2. &amp; 3. Weighting'!$T$15,0)</f>
        <v>1</v>
      </c>
      <c r="D33" s="3" t="s">
        <v>97</v>
      </c>
      <c r="E33" s="45">
        <f>Normalization!E38</f>
        <v>0</v>
      </c>
      <c r="F33" s="45">
        <f>Normalization!G38</f>
        <v>1</v>
      </c>
    </row>
    <row r="34" spans="2:8" ht="15" customHeight="1">
      <c r="D34" s="3" t="s">
        <v>119</v>
      </c>
      <c r="E34" s="45">
        <f>$C$33*E33</f>
        <v>0</v>
      </c>
      <c r="F34" s="45">
        <f>$C$33*F33</f>
        <v>1</v>
      </c>
    </row>
    <row r="35" spans="2:8">
      <c r="B35" s="3" t="s">
        <v>90</v>
      </c>
      <c r="C35" s="3">
        <f>IF('1. Criteria'!F30="Y",'2. &amp; 3. Weighting'!$U$15,0)</f>
        <v>1</v>
      </c>
      <c r="D35" s="3" t="s">
        <v>97</v>
      </c>
      <c r="E35" s="45">
        <f>Normalization!E40</f>
        <v>1</v>
      </c>
      <c r="F35" s="45">
        <f>Normalization!G40</f>
        <v>0</v>
      </c>
    </row>
    <row r="36" spans="2:8" ht="15" customHeight="1">
      <c r="D36" s="3" t="s">
        <v>119</v>
      </c>
      <c r="E36" s="45">
        <f>$C$35*E35</f>
        <v>1</v>
      </c>
      <c r="F36" s="45">
        <f>$C$35*F35</f>
        <v>0</v>
      </c>
    </row>
    <row r="37" spans="2:8" ht="15" customHeight="1">
      <c r="B37" s="3" t="s">
        <v>141</v>
      </c>
      <c r="C37" s="3">
        <f>IF('1. Criteria'!F31="Y",'2. &amp; 3. Weighting'!$V$15,0)</f>
        <v>0</v>
      </c>
      <c r="D37" s="3" t="s">
        <v>97</v>
      </c>
      <c r="E37" s="45">
        <f>Normalization!E42</f>
        <v>1</v>
      </c>
      <c r="F37" s="45">
        <f>Normalization!G42</f>
        <v>0</v>
      </c>
    </row>
    <row r="38" spans="2:8" ht="15" customHeight="1">
      <c r="D38" s="3" t="s">
        <v>119</v>
      </c>
      <c r="E38" s="45">
        <f>$C$37*E37</f>
        <v>0</v>
      </c>
      <c r="F38" s="45">
        <f>$C$37*F37</f>
        <v>0</v>
      </c>
    </row>
    <row r="39" spans="2:8" ht="15" customHeight="1">
      <c r="B39" s="3" t="s">
        <v>171</v>
      </c>
      <c r="C39" s="3">
        <f>IF('1. Criteria'!F32="Y",'2. &amp; 3. Weighting'!$W$15,0)</f>
        <v>1</v>
      </c>
      <c r="D39" s="3" t="s">
        <v>97</v>
      </c>
      <c r="E39" s="45">
        <f>Normalization!E44</f>
        <v>1</v>
      </c>
      <c r="F39" s="45">
        <f>Normalization!G44</f>
        <v>0</v>
      </c>
    </row>
    <row r="40" spans="2:8" ht="15" customHeight="1">
      <c r="D40" s="3" t="s">
        <v>119</v>
      </c>
      <c r="E40" s="45">
        <f>$C$39*E39</f>
        <v>1</v>
      </c>
      <c r="F40" s="45">
        <f>$C$39*F39</f>
        <v>0</v>
      </c>
    </row>
    <row r="41" spans="2:8" ht="15" customHeight="1">
      <c r="B41" s="3" t="s">
        <v>172</v>
      </c>
      <c r="C41" s="3">
        <f>IF('1. Criteria'!F33="Y",'2. &amp; 3. Weighting'!$X$15,0)</f>
        <v>1</v>
      </c>
      <c r="D41" s="3" t="s">
        <v>97</v>
      </c>
      <c r="E41" s="45">
        <f>Normalization!E46</f>
        <v>1</v>
      </c>
      <c r="F41" s="45">
        <f>Normalization!G46</f>
        <v>0</v>
      </c>
    </row>
    <row r="42" spans="2:8" ht="15" customHeight="1">
      <c r="D42" s="3" t="s">
        <v>119</v>
      </c>
      <c r="E42" s="45">
        <f>$C$41*E41</f>
        <v>1</v>
      </c>
      <c r="F42" s="45">
        <f>$C$41*F41</f>
        <v>0</v>
      </c>
    </row>
    <row r="43" spans="2:8" ht="15" customHeight="1">
      <c r="B43" s="3" t="s">
        <v>173</v>
      </c>
      <c r="C43" s="3">
        <f>IF('1. Criteria'!F34="Y",'2. &amp; 3. Weighting'!$Y$15,0)</f>
        <v>1</v>
      </c>
      <c r="D43" s="3" t="s">
        <v>97</v>
      </c>
      <c r="E43" s="45">
        <f>Normalization!E48</f>
        <v>1</v>
      </c>
      <c r="F43" s="45">
        <f>Normalization!G48</f>
        <v>0</v>
      </c>
    </row>
    <row r="44" spans="2:8" ht="15" customHeight="1">
      <c r="D44" s="3" t="s">
        <v>119</v>
      </c>
      <c r="E44" s="45">
        <f>$C$43*E43</f>
        <v>1</v>
      </c>
      <c r="F44" s="45">
        <f>$C$43*F43</f>
        <v>0</v>
      </c>
    </row>
    <row r="45" spans="2:8" ht="15" customHeight="1">
      <c r="E45" s="45"/>
      <c r="F45" s="45"/>
    </row>
    <row r="46" spans="2:8">
      <c r="C46" s="3">
        <f>SUM(C3:C44)</f>
        <v>18</v>
      </c>
      <c r="E46" s="45"/>
      <c r="F46" s="45"/>
    </row>
    <row r="47" spans="2:8">
      <c r="E47" s="45" t="str">
        <f>E2</f>
        <v>Electric Boda</v>
      </c>
      <c r="F47" s="45" t="str">
        <f>F2</f>
        <v>ICE 150 CC</v>
      </c>
      <c r="H47" s="45"/>
    </row>
    <row r="48" spans="2:8" ht="15" customHeight="1">
      <c r="D48" s="3" t="s">
        <v>120</v>
      </c>
      <c r="E48" s="45">
        <f>SUMIFS(E3:E45,$D$3:$D$45,"WN")/$C$46</f>
        <v>0.77777777777777779</v>
      </c>
      <c r="F48" s="45">
        <f>SUMIFS(F3:F44,$D$3:$D$44,"WN")/$C$46</f>
        <v>0.27777777777777779</v>
      </c>
      <c r="G48" s="45"/>
      <c r="H48" s="45"/>
    </row>
    <row r="49" spans="4:8" ht="15" customHeight="1">
      <c r="E49" s="35">
        <f>RANK(E48,$E48:$F48,0)</f>
        <v>1</v>
      </c>
      <c r="F49" s="35">
        <f>RANK(F48,$E48:$F48,0)</f>
        <v>2</v>
      </c>
      <c r="G49" s="45"/>
      <c r="H49" s="45"/>
    </row>
    <row r="50" spans="4:8">
      <c r="D50" s="3" t="s">
        <v>121</v>
      </c>
      <c r="E50" s="3">
        <f>COUNTIFS(E3:E44,0,$D$3:$D$44,"N",$C$3:$C$44,"&gt;0")</f>
        <v>5</v>
      </c>
      <c r="F50" s="3">
        <f>COUNTIFS(F3:F44,0,$D$3:$D$44,"N",$C$3:$C$44,"&gt;0")</f>
        <v>13</v>
      </c>
      <c r="G50" s="45"/>
      <c r="H50" s="45"/>
    </row>
    <row r="51" spans="4:8">
      <c r="D51" s="3" t="s">
        <v>122</v>
      </c>
      <c r="E51" s="3">
        <f>COUNTIFS(E3:E44,1,$D$3:$D$44,"N",$C$3:$C$44,"&gt;0")</f>
        <v>13</v>
      </c>
      <c r="F51" s="3">
        <f>COUNTIFS(F3:F44,1,$D$3:$D$44,"N",$C$3:$C$44,"&gt;0")</f>
        <v>5</v>
      </c>
      <c r="G51" s="45"/>
      <c r="H51" s="45"/>
    </row>
    <row r="52" spans="4:8">
      <c r="G52" s="45"/>
      <c r="H52" s="45"/>
    </row>
    <row r="53" spans="4:8">
      <c r="G53" s="45"/>
    </row>
    <row r="58" spans="4:8">
      <c r="E58" s="45"/>
      <c r="F58" s="45"/>
    </row>
    <row r="79" hidden="1"/>
  </sheetData>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
    <tabColor theme="7"/>
  </sheetPr>
  <dimension ref="A1:I33"/>
  <sheetViews>
    <sheetView showGridLines="0" zoomScale="88" zoomScaleNormal="88" workbookViewId="0">
      <selection activeCell="I32" sqref="I32"/>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16384" width="11.54296875" style="2"/>
  </cols>
  <sheetData>
    <row r="1" spans="1:8" ht="54.65" customHeight="1" thickBot="1">
      <c r="C1" s="327" t="s">
        <v>76</v>
      </c>
      <c r="D1" s="328"/>
      <c r="E1" s="328"/>
      <c r="F1" s="328"/>
      <c r="G1" s="328"/>
      <c r="H1" s="328"/>
    </row>
    <row r="2" spans="1:8" ht="24" customHeight="1" thickBot="1">
      <c r="C2" s="277" t="str">
        <f>'1. Criteria'!C17</f>
        <v>Acquisition costs</v>
      </c>
      <c r="D2" s="278"/>
      <c r="E2" s="278"/>
      <c r="F2" s="278"/>
      <c r="G2" s="278"/>
      <c r="H2" s="278"/>
    </row>
    <row r="3" spans="1:8" ht="13" thickBot="1">
      <c r="C3" s="3"/>
      <c r="D3" s="3"/>
      <c r="E3" s="3"/>
      <c r="F3" s="3"/>
      <c r="G3" s="3"/>
    </row>
    <row r="4" spans="1:8" ht="74.5" customHeight="1">
      <c r="C4" s="112" t="s">
        <v>131</v>
      </c>
      <c r="D4" s="340" t="s">
        <v>252</v>
      </c>
      <c r="E4" s="341"/>
      <c r="F4" s="341"/>
      <c r="G4" s="341"/>
      <c r="H4" s="342"/>
    </row>
    <row r="5" spans="1:8" ht="13">
      <c r="A5" s="2" t="s">
        <v>3</v>
      </c>
      <c r="C5" s="113" t="s">
        <v>1</v>
      </c>
      <c r="D5" s="337" t="s">
        <v>100</v>
      </c>
      <c r="E5" s="338"/>
      <c r="F5" s="338"/>
      <c r="G5" s="338"/>
      <c r="H5" s="339"/>
    </row>
    <row r="6" spans="1:8" ht="13">
      <c r="C6" s="113" t="s">
        <v>4</v>
      </c>
      <c r="D6" s="343" t="s">
        <v>136</v>
      </c>
      <c r="E6" s="344"/>
      <c r="F6" s="344"/>
      <c r="G6" s="344"/>
      <c r="H6" s="345"/>
    </row>
    <row r="7" spans="1:8" ht="13">
      <c r="C7" s="113" t="s">
        <v>2</v>
      </c>
      <c r="D7" s="337" t="s">
        <v>105</v>
      </c>
      <c r="E7" s="338"/>
      <c r="F7" s="338"/>
      <c r="G7" s="338"/>
      <c r="H7" s="339"/>
    </row>
    <row r="8" spans="1:8" ht="15" customHeight="1" thickBot="1">
      <c r="B8" s="21"/>
      <c r="C8" s="114" t="s">
        <v>152</v>
      </c>
      <c r="D8" s="330" t="s">
        <v>319</v>
      </c>
      <c r="E8" s="331"/>
      <c r="F8" s="331"/>
      <c r="G8" s="331"/>
      <c r="H8" s="332"/>
    </row>
    <row r="9" spans="1:8" ht="13.5" thickBot="1">
      <c r="C9" s="1"/>
      <c r="D9" s="1"/>
      <c r="E9" s="1"/>
      <c r="F9" s="1"/>
      <c r="G9" s="1"/>
    </row>
    <row r="10" spans="1:8" ht="19.899999999999999" customHeight="1" thickBot="1">
      <c r="C10" s="287" t="s">
        <v>6</v>
      </c>
      <c r="D10" s="288"/>
      <c r="E10" s="288"/>
      <c r="F10" s="288"/>
      <c r="G10" s="288"/>
      <c r="H10" s="333"/>
    </row>
    <row r="11" spans="1:8" ht="81.5" customHeight="1" thickBot="1">
      <c r="C11" s="122" t="s">
        <v>10</v>
      </c>
      <c r="D11" s="334" t="s">
        <v>253</v>
      </c>
      <c r="E11" s="335"/>
      <c r="F11" s="335"/>
      <c r="G11" s="335"/>
      <c r="H11" s="336"/>
    </row>
    <row r="12" spans="1:8" ht="13" thickBot="1"/>
    <row r="13" spans="1:8" ht="19.899999999999999" customHeight="1" thickBot="1">
      <c r="C13" s="287" t="s">
        <v>8</v>
      </c>
      <c r="D13" s="288"/>
      <c r="E13" s="288"/>
      <c r="F13" s="288"/>
      <c r="G13" s="288"/>
      <c r="H13" s="333"/>
    </row>
    <row r="14" spans="1:8" ht="103" customHeight="1">
      <c r="C14" s="116" t="s">
        <v>9</v>
      </c>
      <c r="D14" s="343" t="s">
        <v>222</v>
      </c>
      <c r="E14" s="344"/>
      <c r="F14" s="344"/>
      <c r="G14" s="344"/>
      <c r="H14" s="345"/>
    </row>
    <row r="15" spans="1:8" ht="50.5" customHeight="1" thickBot="1">
      <c r="C15" s="114" t="s">
        <v>153</v>
      </c>
      <c r="D15" s="334" t="s">
        <v>223</v>
      </c>
      <c r="E15" s="335"/>
      <c r="F15" s="335"/>
      <c r="G15" s="335"/>
      <c r="H15" s="336"/>
    </row>
    <row r="16" spans="1:8">
      <c r="C16" s="2" t="s">
        <v>7</v>
      </c>
    </row>
    <row r="17" spans="2:9" ht="13" thickBot="1"/>
    <row r="18" spans="2:9" ht="19.899999999999999" customHeight="1" thickBot="1">
      <c r="C18" s="289" t="s">
        <v>19</v>
      </c>
      <c r="D18" s="290"/>
      <c r="E18" s="290"/>
      <c r="F18" s="290"/>
      <c r="G18" s="290"/>
      <c r="H18" s="346"/>
    </row>
    <row r="19" spans="2:9" ht="13.5" thickBot="1">
      <c r="C19" s="5"/>
      <c r="D19" s="4"/>
      <c r="E19" s="4"/>
      <c r="F19" s="4"/>
      <c r="G19" s="4"/>
      <c r="H19" s="4"/>
    </row>
    <row r="20" spans="2:9" ht="16" thickBot="1">
      <c r="B20" s="2" t="s">
        <v>96</v>
      </c>
      <c r="C20" s="292" t="s">
        <v>20</v>
      </c>
      <c r="D20" s="293"/>
      <c r="E20" s="293"/>
      <c r="F20" s="293"/>
      <c r="G20" s="293"/>
      <c r="H20" s="329"/>
    </row>
    <row r="21" spans="2:9" ht="20.5" customHeight="1" thickBot="1">
      <c r="B21" s="2" t="s">
        <v>97</v>
      </c>
      <c r="C21" s="11" t="str">
        <f>$D$8</f>
        <v>USD</v>
      </c>
      <c r="D21" s="36" t="s">
        <v>251</v>
      </c>
      <c r="E21" s="36"/>
      <c r="F21" s="36" t="s">
        <v>250</v>
      </c>
      <c r="G21" s="36"/>
      <c r="H21" s="10" t="s">
        <v>84</v>
      </c>
    </row>
    <row r="22" spans="2:9" ht="13.5" thickBot="1">
      <c r="C22" s="117" t="s">
        <v>320</v>
      </c>
      <c r="D22" s="184">
        <v>1500</v>
      </c>
      <c r="E22" s="32" t="s">
        <v>96</v>
      </c>
      <c r="F22" s="184">
        <v>840</v>
      </c>
      <c r="G22" s="32" t="s">
        <v>96</v>
      </c>
      <c r="H22" s="31"/>
      <c r="I22" s="150" t="s">
        <v>237</v>
      </c>
    </row>
    <row r="23" spans="2:9" ht="13.5" thickBot="1">
      <c r="C23" s="117" t="s">
        <v>155</v>
      </c>
      <c r="D23" s="184">
        <v>1300</v>
      </c>
      <c r="E23" s="32" t="s">
        <v>97</v>
      </c>
      <c r="F23" s="184">
        <v>800</v>
      </c>
      <c r="G23" s="32" t="s">
        <v>97</v>
      </c>
      <c r="H23" s="31"/>
    </row>
    <row r="24" spans="2:9" ht="13.5" thickBot="1">
      <c r="C24" s="117" t="s">
        <v>155</v>
      </c>
      <c r="D24" s="184"/>
      <c r="E24" s="32" t="s">
        <v>97</v>
      </c>
      <c r="F24" s="184"/>
      <c r="G24" s="32" t="s">
        <v>96</v>
      </c>
      <c r="H24" s="31"/>
    </row>
    <row r="25" spans="2:9" ht="13.5" thickBot="1">
      <c r="C25" s="117" t="s">
        <v>155</v>
      </c>
      <c r="D25" s="184"/>
      <c r="E25" s="32"/>
      <c r="F25" s="184"/>
      <c r="G25" s="32"/>
      <c r="H25" s="31"/>
    </row>
    <row r="26" spans="2:9" ht="13.5" thickBot="1">
      <c r="C26" s="117" t="s">
        <v>155</v>
      </c>
      <c r="D26" s="184"/>
      <c r="E26" s="32"/>
      <c r="F26" s="184"/>
      <c r="G26" s="32"/>
      <c r="H26" s="31"/>
    </row>
    <row r="27" spans="2:9" ht="13.5" thickBot="1">
      <c r="C27" s="117" t="s">
        <v>155</v>
      </c>
      <c r="D27" s="184"/>
      <c r="E27" s="32"/>
      <c r="F27" s="184"/>
      <c r="G27" s="32"/>
      <c r="H27" s="31"/>
    </row>
    <row r="28" spans="2:9" ht="13">
      <c r="C28" s="17" t="s">
        <v>15</v>
      </c>
      <c r="D28" s="283">
        <f>MIN(D22:D27)</f>
        <v>1300</v>
      </c>
      <c r="E28" s="284"/>
      <c r="F28" s="284">
        <f>MIN(F22:F27)</f>
        <v>800</v>
      </c>
      <c r="G28" s="284"/>
      <c r="H28" s="154"/>
      <c r="I28" s="150" t="s">
        <v>243</v>
      </c>
    </row>
    <row r="29" spans="2:9" ht="13.5" thickBot="1">
      <c r="C29" s="18" t="s">
        <v>16</v>
      </c>
      <c r="D29" s="296">
        <f>MAX(D22:D27)</f>
        <v>1500</v>
      </c>
      <c r="E29" s="297"/>
      <c r="F29" s="297">
        <f>MAX(F22:F27)</f>
        <v>840</v>
      </c>
      <c r="G29" s="297"/>
      <c r="H29" s="155"/>
    </row>
    <row r="30" spans="2:9" ht="13.5" thickBot="1">
      <c r="C30" s="19" t="s">
        <v>71</v>
      </c>
      <c r="D30" s="298">
        <f>MEDIAN(D22:D27)</f>
        <v>1400</v>
      </c>
      <c r="E30" s="299"/>
      <c r="F30" s="299">
        <f>MEDIAN(F22:F27)</f>
        <v>820</v>
      </c>
      <c r="G30" s="299"/>
      <c r="H30" s="156"/>
    </row>
    <row r="31" spans="2:9" ht="13.5" thickBot="1">
      <c r="C31" s="18" t="s">
        <v>18</v>
      </c>
      <c r="D31" s="298">
        <f>AVERAGEIF(E22:E27,"Y",D22:D27)</f>
        <v>1500</v>
      </c>
      <c r="E31" s="299"/>
      <c r="F31" s="299">
        <f>AVERAGEIF(G22:G27,"Y",F22:F27)</f>
        <v>840</v>
      </c>
      <c r="G31" s="299"/>
      <c r="H31" s="156"/>
    </row>
    <row r="32" spans="2:9" ht="13.5" thickBot="1">
      <c r="C32" s="19" t="s">
        <v>17</v>
      </c>
      <c r="D32" s="301">
        <f>D31</f>
        <v>1500</v>
      </c>
      <c r="E32" s="302"/>
      <c r="F32" s="302">
        <f>F31</f>
        <v>840</v>
      </c>
      <c r="G32" s="302"/>
      <c r="H32" s="157"/>
      <c r="I32" s="150" t="s">
        <v>238</v>
      </c>
    </row>
    <row r="33" spans="3:8" ht="13">
      <c r="C33" s="1"/>
      <c r="D33" s="3"/>
      <c r="E33" s="3"/>
      <c r="F33" s="3"/>
      <c r="G33" s="3"/>
      <c r="H33" s="3"/>
    </row>
  </sheetData>
  <mergeCells count="24">
    <mergeCell ref="D32:E32"/>
    <mergeCell ref="F32:G32"/>
    <mergeCell ref="D31:E31"/>
    <mergeCell ref="F31:G31"/>
    <mergeCell ref="C13:H13"/>
    <mergeCell ref="D14:H14"/>
    <mergeCell ref="D15:H15"/>
    <mergeCell ref="C18:H18"/>
    <mergeCell ref="D30:E30"/>
    <mergeCell ref="F30:G30"/>
    <mergeCell ref="C1:H1"/>
    <mergeCell ref="C20:H20"/>
    <mergeCell ref="D29:E29"/>
    <mergeCell ref="F29:G29"/>
    <mergeCell ref="D28:E28"/>
    <mergeCell ref="F28:G28"/>
    <mergeCell ref="D8:H8"/>
    <mergeCell ref="C10:H10"/>
    <mergeCell ref="D11:H11"/>
    <mergeCell ref="D7:H7"/>
    <mergeCell ref="C2:H2"/>
    <mergeCell ref="D4:H4"/>
    <mergeCell ref="D5:H5"/>
    <mergeCell ref="D6:H6"/>
  </mergeCells>
  <conditionalFormatting sqref="E22:E27 G22:G27">
    <cfRule type="cellIs" dxfId="51" priority="37" operator="equal">
      <formula>"N"</formula>
    </cfRule>
    <cfRule type="cellIs" dxfId="50" priority="38" operator="equal">
      <formula>"Y"</formula>
    </cfRule>
  </conditionalFormatting>
  <dataValidations count="1">
    <dataValidation type="list" allowBlank="1" showInputMessage="1" showErrorMessage="1" sqref="E22:E27 G22:G27" xr:uid="{00000000-0002-0000-0100-000000000000}">
      <formula1>$B$20:$B$21</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tabColor theme="7"/>
  </sheetPr>
  <dimension ref="A1:H30"/>
  <sheetViews>
    <sheetView zoomScale="88" zoomScaleNormal="88" workbookViewId="0">
      <selection activeCell="L21" sqref="L21"/>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16384" width="11.54296875" style="2"/>
  </cols>
  <sheetData>
    <row r="1" spans="1:8" ht="19.5" thickBot="1">
      <c r="C1" s="327" t="s">
        <v>77</v>
      </c>
      <c r="D1" s="328"/>
      <c r="E1" s="328"/>
      <c r="F1" s="328"/>
      <c r="G1" s="328"/>
      <c r="H1" s="328"/>
    </row>
    <row r="2" spans="1:8" ht="24" customHeight="1" thickBot="1">
      <c r="C2" s="277" t="str">
        <f>'1. Criteria'!C18</f>
        <v>Net present value</v>
      </c>
      <c r="D2" s="278"/>
      <c r="E2" s="278"/>
      <c r="F2" s="278"/>
      <c r="G2" s="278"/>
      <c r="H2" s="278"/>
    </row>
    <row r="3" spans="1:8" ht="13" thickBot="1">
      <c r="C3" s="3"/>
      <c r="D3" s="3"/>
      <c r="E3" s="3"/>
      <c r="F3" s="3"/>
      <c r="G3" s="3"/>
    </row>
    <row r="4" spans="1:8" ht="27.65" customHeight="1">
      <c r="C4" s="112" t="s">
        <v>131</v>
      </c>
      <c r="D4" s="364" t="s">
        <v>185</v>
      </c>
      <c r="E4" s="365"/>
      <c r="F4" s="365"/>
      <c r="G4" s="365"/>
      <c r="H4" s="366"/>
    </row>
    <row r="5" spans="1:8" ht="13">
      <c r="A5" s="2" t="s">
        <v>3</v>
      </c>
      <c r="C5" s="113" t="s">
        <v>1</v>
      </c>
      <c r="D5" s="358" t="s">
        <v>100</v>
      </c>
      <c r="E5" s="359"/>
      <c r="F5" s="359"/>
      <c r="G5" s="359"/>
      <c r="H5" s="360"/>
    </row>
    <row r="6" spans="1:8" ht="12.75" customHeight="1">
      <c r="C6" s="113" t="s">
        <v>4</v>
      </c>
      <c r="D6" s="358" t="s">
        <v>136</v>
      </c>
      <c r="E6" s="359"/>
      <c r="F6" s="359"/>
      <c r="G6" s="359"/>
      <c r="H6" s="360"/>
    </row>
    <row r="7" spans="1:8" ht="13">
      <c r="C7" s="113" t="s">
        <v>2</v>
      </c>
      <c r="D7" s="358" t="s">
        <v>105</v>
      </c>
      <c r="E7" s="359"/>
      <c r="F7" s="359"/>
      <c r="G7" s="359"/>
      <c r="H7" s="360"/>
    </row>
    <row r="8" spans="1:8" ht="15" customHeight="1" thickBot="1">
      <c r="B8" s="21"/>
      <c r="C8" s="114" t="s">
        <v>5</v>
      </c>
      <c r="D8" s="361" t="s">
        <v>227</v>
      </c>
      <c r="E8" s="362"/>
      <c r="F8" s="362"/>
      <c r="G8" s="362"/>
      <c r="H8" s="363"/>
    </row>
    <row r="9" spans="1:8" ht="13.5" thickBot="1">
      <c r="C9" s="1"/>
      <c r="D9" s="1"/>
      <c r="E9" s="1"/>
      <c r="F9" s="1"/>
      <c r="G9" s="1"/>
    </row>
    <row r="10" spans="1:8" ht="19.899999999999999" customHeight="1" thickBot="1">
      <c r="C10" s="289" t="s">
        <v>6</v>
      </c>
      <c r="D10" s="356"/>
      <c r="E10" s="356"/>
      <c r="F10" s="356"/>
      <c r="G10" s="356"/>
      <c r="H10" s="357"/>
    </row>
    <row r="11" spans="1:8" ht="76" customHeight="1" thickBot="1">
      <c r="C11" s="122" t="s">
        <v>10</v>
      </c>
      <c r="D11" s="353" t="s">
        <v>186</v>
      </c>
      <c r="E11" s="354"/>
      <c r="F11" s="354"/>
      <c r="G11" s="354"/>
      <c r="H11" s="355"/>
    </row>
    <row r="12" spans="1:8" ht="13" thickBot="1"/>
    <row r="13" spans="1:8" ht="19.899999999999999" customHeight="1" thickBot="1">
      <c r="C13" s="289" t="s">
        <v>8</v>
      </c>
      <c r="D13" s="356"/>
      <c r="E13" s="356"/>
      <c r="F13" s="356"/>
      <c r="G13" s="356"/>
      <c r="H13" s="357"/>
    </row>
    <row r="14" spans="1:8" ht="89.25" customHeight="1" thickBot="1">
      <c r="C14" s="116" t="s">
        <v>9</v>
      </c>
      <c r="D14" s="340" t="s">
        <v>187</v>
      </c>
      <c r="E14" s="341"/>
      <c r="F14" s="341"/>
      <c r="G14" s="341"/>
      <c r="H14" s="342"/>
    </row>
    <row r="15" spans="1:8" ht="26.25" customHeight="1" thickBot="1">
      <c r="C15" s="114" t="s">
        <v>153</v>
      </c>
      <c r="D15" s="353" t="s">
        <v>208</v>
      </c>
      <c r="E15" s="354"/>
      <c r="F15" s="354"/>
      <c r="G15" s="354"/>
      <c r="H15" s="355"/>
    </row>
    <row r="16" spans="1:8">
      <c r="C16" s="2" t="s">
        <v>7</v>
      </c>
    </row>
    <row r="17" spans="2:8" ht="13" thickBot="1"/>
    <row r="18" spans="2:8" ht="19.899999999999999" customHeight="1" thickBot="1">
      <c r="C18" s="289" t="s">
        <v>19</v>
      </c>
      <c r="D18" s="356"/>
      <c r="E18" s="356"/>
      <c r="F18" s="356"/>
      <c r="G18" s="356"/>
      <c r="H18" s="357"/>
    </row>
    <row r="19" spans="2:8" ht="13.5" thickBot="1">
      <c r="C19" s="5"/>
      <c r="D19" s="4"/>
      <c r="E19" s="4"/>
      <c r="F19" s="4"/>
      <c r="G19" s="4"/>
      <c r="H19" s="4"/>
    </row>
    <row r="20" spans="2:8" ht="16" thickBot="1">
      <c r="B20" s="2" t="s">
        <v>96</v>
      </c>
      <c r="C20" s="292" t="s">
        <v>20</v>
      </c>
      <c r="D20" s="293"/>
      <c r="E20" s="293"/>
      <c r="F20" s="293"/>
      <c r="G20" s="293"/>
      <c r="H20" s="329"/>
    </row>
    <row r="21" spans="2:8" ht="33.5" customHeight="1" thickBot="1">
      <c r="B21" s="2" t="s">
        <v>97</v>
      </c>
      <c r="C21" s="11" t="str">
        <f>$D$8</f>
        <v>€</v>
      </c>
      <c r="D21" s="36" t="s">
        <v>251</v>
      </c>
      <c r="E21" s="36"/>
      <c r="F21" s="36" t="s">
        <v>250</v>
      </c>
      <c r="G21" s="36"/>
      <c r="H21" s="10" t="s">
        <v>84</v>
      </c>
    </row>
    <row r="22" spans="2:8" ht="13" thickBot="1">
      <c r="C22" s="101" t="s">
        <v>155</v>
      </c>
      <c r="D22" s="35">
        <v>1500</v>
      </c>
      <c r="E22" s="185" t="s">
        <v>96</v>
      </c>
      <c r="F22" s="35">
        <v>240</v>
      </c>
      <c r="G22" s="185" t="s">
        <v>96</v>
      </c>
      <c r="H22" s="158"/>
    </row>
    <row r="23" spans="2:8" ht="13" thickBot="1">
      <c r="C23" s="101" t="s">
        <v>155</v>
      </c>
      <c r="D23" s="35">
        <v>3860</v>
      </c>
      <c r="E23" s="185" t="s">
        <v>96</v>
      </c>
      <c r="F23" s="35">
        <v>400</v>
      </c>
      <c r="G23" s="185" t="s">
        <v>96</v>
      </c>
      <c r="H23" s="158"/>
    </row>
    <row r="24" spans="2:8" ht="13" thickBot="1">
      <c r="C24" s="101" t="s">
        <v>155</v>
      </c>
      <c r="D24" s="35">
        <v>1500</v>
      </c>
      <c r="E24" s="185" t="s">
        <v>96</v>
      </c>
      <c r="F24" s="35">
        <v>300</v>
      </c>
      <c r="G24" s="185" t="s">
        <v>96</v>
      </c>
      <c r="H24" s="158"/>
    </row>
    <row r="25" spans="2:8" ht="13">
      <c r="C25" s="17" t="s">
        <v>15</v>
      </c>
      <c r="D25" s="319">
        <f>MIN(D22:D24)</f>
        <v>1500</v>
      </c>
      <c r="E25" s="320"/>
      <c r="F25" s="320">
        <f>MIN(F22:F24)</f>
        <v>240</v>
      </c>
      <c r="G25" s="320"/>
      <c r="H25" s="159"/>
    </row>
    <row r="26" spans="2:8" ht="13.5" thickBot="1">
      <c r="C26" s="18" t="s">
        <v>16</v>
      </c>
      <c r="D26" s="351">
        <f>MAX(D22:D24)</f>
        <v>3860</v>
      </c>
      <c r="E26" s="352"/>
      <c r="F26" s="352">
        <f>MAX(F22:F24)</f>
        <v>400</v>
      </c>
      <c r="G26" s="352"/>
      <c r="H26" s="160"/>
    </row>
    <row r="27" spans="2:8" ht="13.5" thickBot="1">
      <c r="C27" s="19" t="s">
        <v>71</v>
      </c>
      <c r="D27" s="349">
        <f>MEDIAN(D22:D24)</f>
        <v>1500</v>
      </c>
      <c r="E27" s="350"/>
      <c r="F27" s="350">
        <f>MEDIAN(F22:F24)</f>
        <v>300</v>
      </c>
      <c r="G27" s="350"/>
      <c r="H27" s="161"/>
    </row>
    <row r="28" spans="2:8" ht="13.5" thickBot="1">
      <c r="C28" s="18" t="s">
        <v>18</v>
      </c>
      <c r="D28" s="349">
        <f>AVERAGEIF(E22:E24,"Y",D22:D24)</f>
        <v>2286.6666666666665</v>
      </c>
      <c r="E28" s="350"/>
      <c r="F28" s="350">
        <f>AVERAGEIF(G22:G24,"Y",F22:F24)</f>
        <v>313.33333333333331</v>
      </c>
      <c r="G28" s="350"/>
      <c r="H28" s="161"/>
    </row>
    <row r="29" spans="2:8" ht="13.5" thickBot="1">
      <c r="C29" s="19" t="s">
        <v>17</v>
      </c>
      <c r="D29" s="347">
        <v>2300</v>
      </c>
      <c r="E29" s="348"/>
      <c r="F29" s="348">
        <v>600</v>
      </c>
      <c r="G29" s="348"/>
      <c r="H29" s="162"/>
    </row>
    <row r="30" spans="2:8" ht="13">
      <c r="C30" s="1"/>
      <c r="D30" s="3"/>
      <c r="E30" s="3"/>
      <c r="F30" s="3"/>
      <c r="G30" s="3"/>
      <c r="H30" s="3"/>
    </row>
  </sheetData>
  <mergeCells count="24">
    <mergeCell ref="D14:H14"/>
    <mergeCell ref="C10:H10"/>
    <mergeCell ref="D11:H11"/>
    <mergeCell ref="C13:H13"/>
    <mergeCell ref="C2:H2"/>
    <mergeCell ref="D4:H4"/>
    <mergeCell ref="D5:H5"/>
    <mergeCell ref="D6:H6"/>
    <mergeCell ref="D25:E25"/>
    <mergeCell ref="F25:G25"/>
    <mergeCell ref="C1:H1"/>
    <mergeCell ref="D29:E29"/>
    <mergeCell ref="F29:G29"/>
    <mergeCell ref="D28:E28"/>
    <mergeCell ref="F28:G28"/>
    <mergeCell ref="D27:E27"/>
    <mergeCell ref="F27:G27"/>
    <mergeCell ref="D26:E26"/>
    <mergeCell ref="F26:G26"/>
    <mergeCell ref="D15:H15"/>
    <mergeCell ref="C18:H18"/>
    <mergeCell ref="C20:H20"/>
    <mergeCell ref="D7:H7"/>
    <mergeCell ref="D8:H8"/>
  </mergeCells>
  <conditionalFormatting sqref="E22:E24 G22:G24">
    <cfRule type="cellIs" dxfId="49" priority="23" operator="equal">
      <formula>"N"</formula>
    </cfRule>
    <cfRule type="cellIs" dxfId="48" priority="24" operator="equal">
      <formula>"Y"</formula>
    </cfRule>
  </conditionalFormatting>
  <dataValidations count="1">
    <dataValidation type="list" allowBlank="1" showInputMessage="1" showErrorMessage="1" sqref="E22:E24 G22:G24" xr:uid="{00000000-0002-0000-0200-000000000000}">
      <formula1>$B$20:$B$21</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5">
    <tabColor theme="7"/>
  </sheetPr>
  <dimension ref="A1:H89"/>
  <sheetViews>
    <sheetView showGridLines="0" zoomScale="88" zoomScaleNormal="88" workbookViewId="0">
      <selection activeCell="F31" sqref="F31:G31"/>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8" width="17.90625" style="2" customWidth="1"/>
    <col min="9" max="16384" width="11.54296875" style="2"/>
  </cols>
  <sheetData>
    <row r="1" spans="1:8" ht="19.5" thickBot="1">
      <c r="C1" s="367" t="s">
        <v>79</v>
      </c>
      <c r="D1" s="368"/>
      <c r="E1" s="368"/>
      <c r="F1" s="368"/>
      <c r="G1" s="368"/>
      <c r="H1" s="369"/>
    </row>
    <row r="2" spans="1:8" ht="24" customHeight="1" thickBot="1">
      <c r="C2" s="277" t="str">
        <f>'1. Criteria'!C19</f>
        <v>Payback period</v>
      </c>
      <c r="D2" s="278"/>
      <c r="E2" s="278"/>
      <c r="F2" s="278"/>
      <c r="G2" s="278"/>
      <c r="H2" s="278"/>
    </row>
    <row r="3" spans="1:8" ht="13" thickBot="1">
      <c r="C3" s="3"/>
      <c r="D3" s="3"/>
      <c r="E3" s="3"/>
      <c r="F3" s="3"/>
      <c r="G3" s="3"/>
    </row>
    <row r="4" spans="1:8" ht="53.5" customHeight="1">
      <c r="C4" s="112" t="s">
        <v>131</v>
      </c>
      <c r="D4" s="370" t="s">
        <v>321</v>
      </c>
      <c r="E4" s="371"/>
      <c r="F4" s="371"/>
      <c r="G4" s="371"/>
      <c r="H4" s="372"/>
    </row>
    <row r="5" spans="1:8" ht="13">
      <c r="A5" s="2" t="s">
        <v>3</v>
      </c>
      <c r="C5" s="113" t="s">
        <v>1</v>
      </c>
      <c r="D5" s="337" t="s">
        <v>100</v>
      </c>
      <c r="E5" s="338"/>
      <c r="F5" s="338"/>
      <c r="G5" s="338"/>
      <c r="H5" s="339"/>
    </row>
    <row r="6" spans="1:8" ht="13">
      <c r="C6" s="113" t="s">
        <v>4</v>
      </c>
      <c r="D6" s="337" t="s">
        <v>136</v>
      </c>
      <c r="E6" s="338"/>
      <c r="F6" s="338"/>
      <c r="G6" s="338"/>
      <c r="H6" s="339"/>
    </row>
    <row r="7" spans="1:8" ht="13">
      <c r="C7" s="113" t="s">
        <v>2</v>
      </c>
      <c r="D7" s="337" t="s">
        <v>105</v>
      </c>
      <c r="E7" s="338"/>
      <c r="F7" s="338"/>
      <c r="G7" s="338"/>
      <c r="H7" s="339"/>
    </row>
    <row r="8" spans="1:8" ht="40" customHeight="1" thickBot="1">
      <c r="B8" s="21"/>
      <c r="C8" s="114" t="s">
        <v>152</v>
      </c>
      <c r="D8" s="373" t="s">
        <v>326</v>
      </c>
      <c r="E8" s="374"/>
      <c r="F8" s="374"/>
      <c r="G8" s="374"/>
      <c r="H8" s="375"/>
    </row>
    <row r="9" spans="1:8" ht="13.5" thickBot="1">
      <c r="B9" s="21"/>
      <c r="C9" s="1"/>
      <c r="D9" s="1"/>
      <c r="E9" s="1"/>
      <c r="F9" s="1"/>
      <c r="G9" s="1"/>
    </row>
    <row r="10" spans="1:8" ht="19.899999999999999" customHeight="1" thickBot="1">
      <c r="C10" s="289" t="s">
        <v>6</v>
      </c>
      <c r="D10" s="288"/>
      <c r="E10" s="288"/>
      <c r="F10" s="288"/>
      <c r="G10" s="288"/>
      <c r="H10" s="333"/>
    </row>
    <row r="11" spans="1:8" ht="38.25" customHeight="1" thickBot="1">
      <c r="C11" s="122" t="s">
        <v>10</v>
      </c>
      <c r="D11" s="330" t="s">
        <v>188</v>
      </c>
      <c r="E11" s="331"/>
      <c r="F11" s="331"/>
      <c r="G11" s="331"/>
      <c r="H11" s="332"/>
    </row>
    <row r="12" spans="1:8" ht="13" thickBot="1"/>
    <row r="13" spans="1:8" ht="19.899999999999999" customHeight="1" thickBot="1">
      <c r="C13" s="287" t="s">
        <v>8</v>
      </c>
      <c r="D13" s="288"/>
      <c r="E13" s="288"/>
      <c r="F13" s="288"/>
      <c r="G13" s="288"/>
      <c r="H13" s="333"/>
    </row>
    <row r="14" spans="1:8" ht="76.5" customHeight="1">
      <c r="C14" s="116" t="s">
        <v>9</v>
      </c>
      <c r="D14" s="337" t="s">
        <v>189</v>
      </c>
      <c r="E14" s="338"/>
      <c r="F14" s="338"/>
      <c r="G14" s="338"/>
      <c r="H14" s="339"/>
    </row>
    <row r="15" spans="1:8" ht="77.5" customHeight="1" thickBot="1">
      <c r="C15" s="114" t="s">
        <v>153</v>
      </c>
      <c r="D15" s="330" t="s">
        <v>209</v>
      </c>
      <c r="E15" s="331"/>
      <c r="F15" s="331"/>
      <c r="G15" s="331"/>
      <c r="H15" s="332"/>
    </row>
    <row r="16" spans="1:8">
      <c r="C16" s="2" t="s">
        <v>7</v>
      </c>
    </row>
    <row r="18" spans="2:8" ht="13" thickBot="1"/>
    <row r="19" spans="2:8" ht="19.899999999999999" customHeight="1" thickBot="1">
      <c r="C19" s="289" t="s">
        <v>19</v>
      </c>
      <c r="D19" s="290"/>
      <c r="E19" s="290"/>
      <c r="F19" s="290"/>
      <c r="G19" s="290"/>
      <c r="H19" s="346"/>
    </row>
    <row r="20" spans="2:8" ht="13">
      <c r="C20" s="5"/>
      <c r="D20" s="4"/>
      <c r="E20" s="4"/>
      <c r="F20" s="4"/>
      <c r="G20" s="4"/>
      <c r="H20" s="4"/>
    </row>
    <row r="21" spans="2:8" ht="13.5" thickBot="1">
      <c r="C21" s="5"/>
      <c r="D21" s="4"/>
      <c r="E21" s="4"/>
      <c r="F21" s="4"/>
      <c r="G21" s="4"/>
      <c r="H21" s="4"/>
    </row>
    <row r="22" spans="2:8" ht="16" thickBot="1">
      <c r="B22" s="2" t="s">
        <v>96</v>
      </c>
      <c r="C22" s="292" t="s">
        <v>20</v>
      </c>
      <c r="D22" s="293"/>
      <c r="E22" s="293"/>
      <c r="F22" s="293"/>
      <c r="G22" s="293"/>
      <c r="H22" s="329"/>
    </row>
    <row r="23" spans="2:8" ht="33.5" customHeight="1" thickBot="1">
      <c r="B23" s="2" t="s">
        <v>97</v>
      </c>
      <c r="C23" s="11" t="s">
        <v>327</v>
      </c>
      <c r="D23" s="36" t="s">
        <v>251</v>
      </c>
      <c r="E23" s="36"/>
      <c r="F23" s="36" t="s">
        <v>250</v>
      </c>
      <c r="G23" s="36"/>
      <c r="H23" s="10" t="s">
        <v>84</v>
      </c>
    </row>
    <row r="24" spans="2:8" ht="13" thickBot="1">
      <c r="C24" s="101" t="s">
        <v>322</v>
      </c>
      <c r="D24" s="35">
        <v>2</v>
      </c>
      <c r="E24" s="185" t="s">
        <v>96</v>
      </c>
      <c r="F24" s="35">
        <v>1</v>
      </c>
      <c r="G24" s="185" t="s">
        <v>96</v>
      </c>
      <c r="H24" s="158"/>
    </row>
    <row r="25" spans="2:8" ht="13" thickBot="1">
      <c r="C25" s="101" t="s">
        <v>155</v>
      </c>
      <c r="D25" s="169">
        <v>1.5</v>
      </c>
      <c r="E25" s="185" t="s">
        <v>97</v>
      </c>
      <c r="F25" s="35">
        <v>1.5</v>
      </c>
      <c r="G25" s="185"/>
      <c r="H25" s="158"/>
    </row>
    <row r="26" spans="2:8" ht="13" thickBot="1">
      <c r="C26" s="101" t="s">
        <v>155</v>
      </c>
      <c r="D26" s="35"/>
      <c r="E26" s="185" t="s">
        <v>97</v>
      </c>
      <c r="F26" s="35"/>
      <c r="G26" s="185" t="s">
        <v>97</v>
      </c>
      <c r="H26" s="158"/>
    </row>
    <row r="27" spans="2:8" ht="13">
      <c r="C27" s="17" t="s">
        <v>15</v>
      </c>
      <c r="D27" s="320">
        <f>MIN(D24:D26)</f>
        <v>1.5</v>
      </c>
      <c r="E27" s="320"/>
      <c r="F27" s="320">
        <f>MIN(F24:F26)</f>
        <v>1</v>
      </c>
      <c r="G27" s="320"/>
      <c r="H27" s="159"/>
    </row>
    <row r="28" spans="2:8" ht="13.5" thickBot="1">
      <c r="C28" s="18" t="s">
        <v>16</v>
      </c>
      <c r="D28" s="384">
        <f>MAX(D24:D26)</f>
        <v>2</v>
      </c>
      <c r="E28" s="384"/>
      <c r="F28" s="384">
        <f>MAX(F24:F26)</f>
        <v>1.5</v>
      </c>
      <c r="G28" s="384"/>
      <c r="H28" s="158"/>
    </row>
    <row r="29" spans="2:8" ht="13.5" thickBot="1">
      <c r="C29" s="19" t="s">
        <v>71</v>
      </c>
      <c r="D29" s="350">
        <f>MEDIAN(D24:D26)</f>
        <v>1.75</v>
      </c>
      <c r="E29" s="350"/>
      <c r="F29" s="350">
        <f>MEDIAN(F24:F26)</f>
        <v>1.25</v>
      </c>
      <c r="G29" s="350"/>
      <c r="H29" s="161"/>
    </row>
    <row r="30" spans="2:8" ht="13">
      <c r="C30" s="18" t="s">
        <v>18</v>
      </c>
      <c r="D30" s="320">
        <f>AVERAGEIF(E24:E26,"Y",D24:D26)</f>
        <v>2</v>
      </c>
      <c r="E30" s="320"/>
      <c r="F30" s="320">
        <f>AVERAGEIF(G24:G26,"Y",F24:F26)</f>
        <v>1</v>
      </c>
      <c r="G30" s="320"/>
      <c r="H30" s="159"/>
    </row>
    <row r="31" spans="2:8" ht="13.5" thickBot="1">
      <c r="C31" s="99" t="s">
        <v>17</v>
      </c>
      <c r="D31" s="383">
        <f>D30</f>
        <v>2</v>
      </c>
      <c r="E31" s="383"/>
      <c r="F31" s="383">
        <f>F30</f>
        <v>1</v>
      </c>
      <c r="G31" s="383"/>
      <c r="H31" s="163"/>
    </row>
    <row r="32" spans="2:8" ht="13">
      <c r="C32" s="1"/>
      <c r="D32" s="3"/>
      <c r="E32" s="3"/>
      <c r="F32" s="3"/>
      <c r="G32" s="3"/>
      <c r="H32" s="3"/>
    </row>
    <row r="35" spans="3:8" ht="16" hidden="1" thickBot="1">
      <c r="C35" s="380" t="s">
        <v>70</v>
      </c>
      <c r="D35" s="381"/>
      <c r="E35" s="381"/>
      <c r="F35" s="381"/>
      <c r="G35" s="381"/>
      <c r="H35" s="381"/>
    </row>
    <row r="36" spans="3:8" ht="78.5" hidden="1" thickBot="1">
      <c r="C36" s="11" t="str">
        <f>$D$8</f>
        <v>quantitative estimate (1 = short, 2 = long) to be modifed into quantitative (years) when data is available from the demosite.</v>
      </c>
      <c r="D36" s="382" t="s">
        <v>11</v>
      </c>
      <c r="E36" s="382"/>
      <c r="F36" s="382" t="s">
        <v>12</v>
      </c>
      <c r="G36" s="382"/>
      <c r="H36" s="36" t="s">
        <v>13</v>
      </c>
    </row>
    <row r="37" spans="3:8" hidden="1">
      <c r="C37" s="12" t="s">
        <v>21</v>
      </c>
      <c r="D37" s="7"/>
      <c r="E37" s="7"/>
      <c r="F37" s="7"/>
      <c r="G37" s="7"/>
      <c r="H37" s="7"/>
    </row>
    <row r="38" spans="3:8" hidden="1">
      <c r="C38" s="13" t="s">
        <v>55</v>
      </c>
      <c r="D38" s="3"/>
      <c r="E38" s="3"/>
      <c r="F38" s="3"/>
      <c r="G38" s="3"/>
      <c r="H38" s="3"/>
    </row>
    <row r="39" spans="3:8" hidden="1">
      <c r="C39" s="13" t="s">
        <v>42</v>
      </c>
    </row>
    <row r="40" spans="3:8" hidden="1">
      <c r="C40" s="13" t="s">
        <v>57</v>
      </c>
    </row>
    <row r="41" spans="3:8" hidden="1">
      <c r="C41" s="13" t="s">
        <v>22</v>
      </c>
    </row>
    <row r="42" spans="3:8" hidden="1">
      <c r="C42" s="13" t="s">
        <v>24</v>
      </c>
    </row>
    <row r="43" spans="3:8" hidden="1">
      <c r="C43" s="13" t="s">
        <v>58</v>
      </c>
    </row>
    <row r="44" spans="3:8" hidden="1">
      <c r="C44" s="13" t="s">
        <v>25</v>
      </c>
    </row>
    <row r="45" spans="3:8" hidden="1">
      <c r="C45" s="13" t="s">
        <v>26</v>
      </c>
    </row>
    <row r="46" spans="3:8" hidden="1">
      <c r="C46" s="13" t="s">
        <v>43</v>
      </c>
    </row>
    <row r="47" spans="3:8" hidden="1">
      <c r="C47" s="13" t="s">
        <v>38</v>
      </c>
    </row>
    <row r="48" spans="3:8" hidden="1">
      <c r="C48" s="13" t="s">
        <v>23</v>
      </c>
    </row>
    <row r="49" spans="3:3" hidden="1">
      <c r="C49" s="13" t="s">
        <v>28</v>
      </c>
    </row>
    <row r="50" spans="3:3" hidden="1">
      <c r="C50" s="13" t="s">
        <v>39</v>
      </c>
    </row>
    <row r="51" spans="3:3" hidden="1">
      <c r="C51" s="13" t="s">
        <v>40</v>
      </c>
    </row>
    <row r="52" spans="3:3" hidden="1">
      <c r="C52" s="13" t="s">
        <v>29</v>
      </c>
    </row>
    <row r="53" spans="3:3" hidden="1">
      <c r="C53" s="13" t="s">
        <v>60</v>
      </c>
    </row>
    <row r="54" spans="3:3" hidden="1">
      <c r="C54" s="13" t="s">
        <v>61</v>
      </c>
    </row>
    <row r="55" spans="3:3" hidden="1">
      <c r="C55" s="13" t="s">
        <v>62</v>
      </c>
    </row>
    <row r="56" spans="3:3" hidden="1">
      <c r="C56" s="13" t="s">
        <v>63</v>
      </c>
    </row>
    <row r="57" spans="3:3" hidden="1">
      <c r="C57" s="13" t="s">
        <v>59</v>
      </c>
    </row>
    <row r="58" spans="3:3" hidden="1">
      <c r="C58" s="13" t="s">
        <v>30</v>
      </c>
    </row>
    <row r="59" spans="3:3" hidden="1">
      <c r="C59" s="13" t="s">
        <v>44</v>
      </c>
    </row>
    <row r="60" spans="3:3" hidden="1">
      <c r="C60" s="13" t="s">
        <v>64</v>
      </c>
    </row>
    <row r="61" spans="3:3" hidden="1">
      <c r="C61" s="13" t="s">
        <v>45</v>
      </c>
    </row>
    <row r="62" spans="3:3" hidden="1">
      <c r="C62" s="13" t="s">
        <v>46</v>
      </c>
    </row>
    <row r="63" spans="3:3" hidden="1">
      <c r="C63" s="13" t="s">
        <v>56</v>
      </c>
    </row>
    <row r="64" spans="3:3" hidden="1">
      <c r="C64" s="13" t="s">
        <v>65</v>
      </c>
    </row>
    <row r="65" spans="3:3" hidden="1">
      <c r="C65" s="13" t="s">
        <v>47</v>
      </c>
    </row>
    <row r="66" spans="3:3" hidden="1">
      <c r="C66" s="13" t="s">
        <v>48</v>
      </c>
    </row>
    <row r="67" spans="3:3" hidden="1">
      <c r="C67" s="13" t="s">
        <v>49</v>
      </c>
    </row>
    <row r="68" spans="3:3" hidden="1">
      <c r="C68" s="13" t="s">
        <v>66</v>
      </c>
    </row>
    <row r="69" spans="3:3" hidden="1">
      <c r="C69" s="13" t="s">
        <v>31</v>
      </c>
    </row>
    <row r="70" spans="3:3" hidden="1">
      <c r="C70" s="13" t="s">
        <v>27</v>
      </c>
    </row>
    <row r="71" spans="3:3" hidden="1">
      <c r="C71" s="13" t="s">
        <v>32</v>
      </c>
    </row>
    <row r="72" spans="3:3" hidden="1">
      <c r="C72" s="13" t="s">
        <v>33</v>
      </c>
    </row>
    <row r="73" spans="3:3" hidden="1">
      <c r="C73" s="13" t="s">
        <v>67</v>
      </c>
    </row>
    <row r="74" spans="3:3" hidden="1">
      <c r="C74" s="13" t="s">
        <v>50</v>
      </c>
    </row>
    <row r="75" spans="3:3" hidden="1">
      <c r="C75" s="13" t="s">
        <v>68</v>
      </c>
    </row>
    <row r="76" spans="3:3" hidden="1">
      <c r="C76" s="13" t="s">
        <v>41</v>
      </c>
    </row>
    <row r="77" spans="3:3" hidden="1">
      <c r="C77" s="13" t="s">
        <v>51</v>
      </c>
    </row>
    <row r="78" spans="3:3" hidden="1">
      <c r="C78" s="13" t="s">
        <v>37</v>
      </c>
    </row>
    <row r="79" spans="3:3" hidden="1">
      <c r="C79" s="13" t="s">
        <v>36</v>
      </c>
    </row>
    <row r="80" spans="3:3" hidden="1">
      <c r="C80" s="13" t="s">
        <v>52</v>
      </c>
    </row>
    <row r="81" spans="3:8" hidden="1">
      <c r="C81" s="13" t="s">
        <v>34</v>
      </c>
    </row>
    <row r="82" spans="3:8" hidden="1">
      <c r="C82" s="13" t="s">
        <v>69</v>
      </c>
    </row>
    <row r="83" spans="3:8" hidden="1">
      <c r="C83" s="13" t="s">
        <v>35</v>
      </c>
    </row>
    <row r="84" spans="3:8" hidden="1">
      <c r="C84" s="13" t="s">
        <v>53</v>
      </c>
    </row>
    <row r="85" spans="3:8" hidden="1">
      <c r="C85" s="13" t="s">
        <v>54</v>
      </c>
    </row>
    <row r="86" spans="3:8" ht="13" hidden="1">
      <c r="C86" s="14" t="s">
        <v>15</v>
      </c>
      <c r="D86" s="325">
        <f>MIN(D37:D85)</f>
        <v>0</v>
      </c>
      <c r="E86" s="317"/>
      <c r="F86" s="317">
        <f>MIN(F37:F85)</f>
        <v>0</v>
      </c>
      <c r="G86" s="317"/>
      <c r="H86" s="7">
        <f>MIN(H37:H85)</f>
        <v>0</v>
      </c>
    </row>
    <row r="87" spans="3:8" ht="13" hidden="1">
      <c r="C87" s="15" t="s">
        <v>16</v>
      </c>
      <c r="D87" s="376">
        <f>MAX(D37:D85)</f>
        <v>0</v>
      </c>
      <c r="E87" s="377"/>
      <c r="F87" s="377">
        <f>MAX(F37:F85)</f>
        <v>0</v>
      </c>
      <c r="G87" s="377"/>
      <c r="H87" s="3">
        <f>MAX(H37:H85)</f>
        <v>0</v>
      </c>
    </row>
    <row r="88" spans="3:8" ht="13" hidden="1">
      <c r="C88" s="15" t="s">
        <v>71</v>
      </c>
      <c r="D88" s="376" t="e">
        <f>MEDIAN(D37:D85)</f>
        <v>#NUM!</v>
      </c>
      <c r="E88" s="377"/>
      <c r="F88" s="377" t="e">
        <f>MEDIAN(F37:F85)</f>
        <v>#NUM!</v>
      </c>
      <c r="G88" s="377"/>
      <c r="H88" s="3" t="e">
        <f>MEDIAN(H37:H85)</f>
        <v>#NUM!</v>
      </c>
    </row>
    <row r="89" spans="3:8" ht="13.5" hidden="1" thickBot="1">
      <c r="C89" s="16" t="s">
        <v>18</v>
      </c>
      <c r="D89" s="378" t="e">
        <f>AVERAGE(D37:D85)</f>
        <v>#DIV/0!</v>
      </c>
      <c r="E89" s="379"/>
      <c r="F89" s="379" t="e">
        <f>AVERAGE(F37:F85)</f>
        <v>#DIV/0!</v>
      </c>
      <c r="G89" s="379"/>
      <c r="H89" s="103" t="e">
        <f>AVERAGE(H37:H85)</f>
        <v>#DIV/0!</v>
      </c>
    </row>
  </sheetData>
  <mergeCells count="35">
    <mergeCell ref="C22:H22"/>
    <mergeCell ref="C35:H35"/>
    <mergeCell ref="D36:E36"/>
    <mergeCell ref="F36:G36"/>
    <mergeCell ref="D86:E86"/>
    <mergeCell ref="F86:G86"/>
    <mergeCell ref="F27:G27"/>
    <mergeCell ref="D31:E31"/>
    <mergeCell ref="F31:G31"/>
    <mergeCell ref="F28:G28"/>
    <mergeCell ref="D29:E29"/>
    <mergeCell ref="F29:G29"/>
    <mergeCell ref="D28:E28"/>
    <mergeCell ref="D87:E87"/>
    <mergeCell ref="F87:G87"/>
    <mergeCell ref="D89:E89"/>
    <mergeCell ref="F89:G89"/>
    <mergeCell ref="D88:E88"/>
    <mergeCell ref="F88:G88"/>
    <mergeCell ref="C1:H1"/>
    <mergeCell ref="D30:E30"/>
    <mergeCell ref="F30:G30"/>
    <mergeCell ref="C2:H2"/>
    <mergeCell ref="D4:H4"/>
    <mergeCell ref="D5:H5"/>
    <mergeCell ref="D6:H6"/>
    <mergeCell ref="D7:H7"/>
    <mergeCell ref="C13:H13"/>
    <mergeCell ref="D14:H14"/>
    <mergeCell ref="D15:H15"/>
    <mergeCell ref="D8:H8"/>
    <mergeCell ref="C10:H10"/>
    <mergeCell ref="D11:H11"/>
    <mergeCell ref="D27:E27"/>
    <mergeCell ref="C19:H19"/>
  </mergeCells>
  <conditionalFormatting sqref="E24:E26 G24:G26">
    <cfRule type="cellIs" dxfId="47" priority="7" operator="equal">
      <formula>"N"</formula>
    </cfRule>
    <cfRule type="cellIs" dxfId="46" priority="8" operator="equal">
      <formula>"Y"</formula>
    </cfRule>
  </conditionalFormatting>
  <dataValidations count="1">
    <dataValidation type="list" allowBlank="1" showInputMessage="1" showErrorMessage="1" sqref="E24:E26 G24:G26" xr:uid="{00000000-0002-0000-0300-000000000000}">
      <formula1>$B$22:$B$23</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6">
    <tabColor theme="7"/>
  </sheetPr>
  <dimension ref="A1:H29"/>
  <sheetViews>
    <sheetView showGridLines="0" zoomScale="88" zoomScaleNormal="88" workbookViewId="0">
      <selection activeCell="D8" sqref="D8:H8"/>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16384" width="11.54296875" style="2"/>
  </cols>
  <sheetData>
    <row r="1" spans="1:8" ht="19.5" thickBot="1">
      <c r="C1" s="367" t="s">
        <v>78</v>
      </c>
      <c r="D1" s="368"/>
      <c r="E1" s="368"/>
      <c r="F1" s="368"/>
      <c r="G1" s="368"/>
      <c r="H1" s="369"/>
    </row>
    <row r="2" spans="1:8" ht="24" customHeight="1" thickBot="1">
      <c r="C2" s="277" t="str">
        <f>'1. Criteria'!C20</f>
        <v>Total cost of ownership</v>
      </c>
      <c r="D2" s="278"/>
      <c r="E2" s="278"/>
      <c r="F2" s="278"/>
      <c r="G2" s="278"/>
      <c r="H2" s="278"/>
    </row>
    <row r="3" spans="1:8" ht="13" thickBot="1">
      <c r="C3" s="3"/>
      <c r="D3" s="3"/>
      <c r="E3" s="3"/>
      <c r="F3" s="3"/>
      <c r="G3" s="3"/>
    </row>
    <row r="4" spans="1:8" ht="32.5" customHeight="1">
      <c r="C4" s="112" t="s">
        <v>131</v>
      </c>
      <c r="D4" s="370" t="s">
        <v>266</v>
      </c>
      <c r="E4" s="371"/>
      <c r="F4" s="371"/>
      <c r="G4" s="371"/>
      <c r="H4" s="372"/>
    </row>
    <row r="5" spans="1:8" ht="13">
      <c r="A5" s="2" t="s">
        <v>3</v>
      </c>
      <c r="C5" s="113" t="s">
        <v>1</v>
      </c>
      <c r="D5" s="337" t="s">
        <v>100</v>
      </c>
      <c r="E5" s="338"/>
      <c r="F5" s="338"/>
      <c r="G5" s="338"/>
      <c r="H5" s="339"/>
    </row>
    <row r="6" spans="1:8" ht="13">
      <c r="C6" s="113" t="s">
        <v>4</v>
      </c>
      <c r="D6" s="337" t="s">
        <v>136</v>
      </c>
      <c r="E6" s="338"/>
      <c r="F6" s="338"/>
      <c r="G6" s="338"/>
      <c r="H6" s="339"/>
    </row>
    <row r="7" spans="1:8" ht="13">
      <c r="C7" s="113" t="s">
        <v>2</v>
      </c>
      <c r="D7" s="337" t="s">
        <v>105</v>
      </c>
      <c r="E7" s="338"/>
      <c r="F7" s="338"/>
      <c r="G7" s="338"/>
      <c r="H7" s="339"/>
    </row>
    <row r="8" spans="1:8" ht="45.5" customHeight="1" thickBot="1">
      <c r="B8" s="21" t="s">
        <v>108</v>
      </c>
      <c r="C8" s="114" t="s">
        <v>5</v>
      </c>
      <c r="D8" s="373" t="s">
        <v>328</v>
      </c>
      <c r="E8" s="374"/>
      <c r="F8" s="374"/>
      <c r="G8" s="374"/>
      <c r="H8" s="375"/>
    </row>
    <row r="9" spans="1:8" ht="13.5" thickBot="1">
      <c r="C9" s="1"/>
      <c r="D9" s="1"/>
      <c r="E9" s="1"/>
      <c r="F9" s="1"/>
      <c r="G9" s="1"/>
    </row>
    <row r="10" spans="1:8" ht="19.899999999999999" customHeight="1" thickBot="1">
      <c r="C10" s="289" t="s">
        <v>6</v>
      </c>
      <c r="D10" s="288"/>
      <c r="E10" s="288"/>
      <c r="F10" s="288"/>
      <c r="G10" s="288"/>
      <c r="H10" s="333"/>
    </row>
    <row r="11" spans="1:8" ht="69" customHeight="1" thickBot="1">
      <c r="C11" s="122" t="s">
        <v>10</v>
      </c>
      <c r="D11" s="353" t="s">
        <v>323</v>
      </c>
      <c r="E11" s="354"/>
      <c r="F11" s="354"/>
      <c r="G11" s="354"/>
      <c r="H11" s="355"/>
    </row>
    <row r="12" spans="1:8" ht="13" thickBot="1"/>
    <row r="13" spans="1:8" ht="19.899999999999999" customHeight="1" thickBot="1">
      <c r="C13" s="287" t="s">
        <v>8</v>
      </c>
      <c r="D13" s="288"/>
      <c r="E13" s="288"/>
      <c r="F13" s="288"/>
      <c r="G13" s="288"/>
      <c r="H13" s="333"/>
    </row>
    <row r="14" spans="1:8" ht="101.15" customHeight="1" thickBot="1">
      <c r="C14" s="116" t="s">
        <v>9</v>
      </c>
      <c r="D14" s="340" t="s">
        <v>324</v>
      </c>
      <c r="E14" s="341"/>
      <c r="F14" s="341"/>
      <c r="G14" s="341"/>
      <c r="H14" s="342"/>
    </row>
    <row r="15" spans="1:8" ht="49.5" customHeight="1" thickBot="1">
      <c r="C15" s="114" t="s">
        <v>153</v>
      </c>
      <c r="D15" s="353" t="s">
        <v>325</v>
      </c>
      <c r="E15" s="354"/>
      <c r="F15" s="354"/>
      <c r="G15" s="354"/>
      <c r="H15" s="355"/>
    </row>
    <row r="16" spans="1:8">
      <c r="C16" s="2" t="s">
        <v>7</v>
      </c>
    </row>
    <row r="17" spans="2:8" ht="13" thickBot="1"/>
    <row r="18" spans="2:8" ht="19.899999999999999" customHeight="1" thickBot="1">
      <c r="C18" s="289" t="s">
        <v>19</v>
      </c>
      <c r="D18" s="290"/>
      <c r="E18" s="290"/>
      <c r="F18" s="290"/>
      <c r="G18" s="290"/>
      <c r="H18" s="346"/>
    </row>
    <row r="19" spans="2:8" ht="13.5" thickBot="1">
      <c r="C19" s="5"/>
      <c r="D19" s="4"/>
      <c r="E19" s="4"/>
      <c r="F19" s="4"/>
      <c r="G19" s="4"/>
      <c r="H19" s="4"/>
    </row>
    <row r="20" spans="2:8" ht="16" thickBot="1">
      <c r="B20" s="2" t="s">
        <v>96</v>
      </c>
      <c r="C20" s="292" t="s">
        <v>20</v>
      </c>
      <c r="D20" s="293"/>
      <c r="E20" s="293"/>
      <c r="F20" s="293"/>
      <c r="G20" s="293"/>
      <c r="H20" s="329"/>
    </row>
    <row r="21" spans="2:8" ht="25.5" customHeight="1" thickBot="1">
      <c r="B21" s="2" t="s">
        <v>97</v>
      </c>
      <c r="C21" s="11" t="s">
        <v>329</v>
      </c>
      <c r="D21" s="36" t="s">
        <v>251</v>
      </c>
      <c r="E21" s="36"/>
      <c r="F21" s="36" t="s">
        <v>250</v>
      </c>
      <c r="G21" s="36"/>
      <c r="H21" s="10" t="s">
        <v>84</v>
      </c>
    </row>
    <row r="22" spans="2:8" ht="37.5">
      <c r="C22" s="164" t="s">
        <v>332</v>
      </c>
      <c r="D22" s="169">
        <v>2</v>
      </c>
      <c r="E22" s="185" t="s">
        <v>96</v>
      </c>
      <c r="F22" s="184">
        <v>1</v>
      </c>
      <c r="G22" s="185" t="s">
        <v>96</v>
      </c>
      <c r="H22" s="158"/>
    </row>
    <row r="23" spans="2:8" ht="13" thickBot="1">
      <c r="C23" s="102" t="s">
        <v>155</v>
      </c>
      <c r="D23" s="184"/>
      <c r="E23" s="185"/>
      <c r="F23" s="184"/>
      <c r="G23" s="185" t="s">
        <v>96</v>
      </c>
      <c r="H23" s="158"/>
    </row>
    <row r="24" spans="2:8" ht="13">
      <c r="C24" s="17" t="s">
        <v>15</v>
      </c>
      <c r="D24" s="317">
        <f>MIN(D22:D23)</f>
        <v>2</v>
      </c>
      <c r="E24" s="317"/>
      <c r="F24" s="317">
        <f>MIN(F22:F23)</f>
        <v>1</v>
      </c>
      <c r="G24" s="317"/>
      <c r="H24" s="8"/>
    </row>
    <row r="25" spans="2:8" ht="13.5" thickBot="1">
      <c r="C25" s="18" t="s">
        <v>16</v>
      </c>
      <c r="D25" s="377">
        <f>MAX(D22:D23)</f>
        <v>2</v>
      </c>
      <c r="E25" s="377"/>
      <c r="F25" s="377">
        <f>MAX(F22:F23)</f>
        <v>1</v>
      </c>
      <c r="G25" s="377"/>
      <c r="H25" s="6"/>
    </row>
    <row r="26" spans="2:8" ht="13.5" thickBot="1">
      <c r="C26" s="19" t="s">
        <v>71</v>
      </c>
      <c r="D26" s="299">
        <f>MEDIAN(D22:D23)</f>
        <v>2</v>
      </c>
      <c r="E26" s="299"/>
      <c r="F26" s="299">
        <f>MEDIAN(F22:F23)</f>
        <v>1</v>
      </c>
      <c r="G26" s="299"/>
      <c r="H26" s="161"/>
    </row>
    <row r="27" spans="2:8" ht="13.5" thickBot="1">
      <c r="C27" s="18" t="s">
        <v>18</v>
      </c>
      <c r="D27" s="299">
        <f>AVERAGEIF(E14:E23,"Y",D14:D23)</f>
        <v>2</v>
      </c>
      <c r="E27" s="299"/>
      <c r="F27" s="299">
        <f>AVERAGEIF(G14:G23,"Y",F14:F23)</f>
        <v>1</v>
      </c>
      <c r="G27" s="299"/>
      <c r="H27" s="161"/>
    </row>
    <row r="28" spans="2:8" ht="13.5" thickBot="1">
      <c r="C28" s="19" t="s">
        <v>17</v>
      </c>
      <c r="D28" s="302">
        <f>D27</f>
        <v>2</v>
      </c>
      <c r="E28" s="302"/>
      <c r="F28" s="302">
        <f>F27</f>
        <v>1</v>
      </c>
      <c r="G28" s="302"/>
      <c r="H28" s="162"/>
    </row>
    <row r="29" spans="2:8" ht="13">
      <c r="C29" s="1"/>
      <c r="D29" s="3"/>
      <c r="E29" s="3"/>
      <c r="F29" s="3"/>
      <c r="G29" s="3"/>
      <c r="H29" s="3"/>
    </row>
  </sheetData>
  <mergeCells count="24">
    <mergeCell ref="D8:H8"/>
    <mergeCell ref="C10:H10"/>
    <mergeCell ref="D11:H11"/>
    <mergeCell ref="C2:H2"/>
    <mergeCell ref="D4:H4"/>
    <mergeCell ref="D5:H5"/>
    <mergeCell ref="D6:H6"/>
    <mergeCell ref="D7:H7"/>
    <mergeCell ref="D28:E28"/>
    <mergeCell ref="F28:G28"/>
    <mergeCell ref="D25:E25"/>
    <mergeCell ref="F25:G25"/>
    <mergeCell ref="C1:H1"/>
    <mergeCell ref="D27:E27"/>
    <mergeCell ref="F27:G27"/>
    <mergeCell ref="D26:E26"/>
    <mergeCell ref="F26:G26"/>
    <mergeCell ref="D24:E24"/>
    <mergeCell ref="F24:G24"/>
    <mergeCell ref="C13:H13"/>
    <mergeCell ref="D14:H14"/>
    <mergeCell ref="D15:H15"/>
    <mergeCell ref="C18:H18"/>
    <mergeCell ref="C20:H20"/>
  </mergeCells>
  <conditionalFormatting sqref="E22:E23 G22:G23">
    <cfRule type="cellIs" dxfId="45" priority="3" operator="equal">
      <formula>"N"</formula>
    </cfRule>
    <cfRule type="cellIs" dxfId="44" priority="4" operator="equal">
      <formula>"Y"</formula>
    </cfRule>
  </conditionalFormatting>
  <dataValidations count="1">
    <dataValidation type="list" allowBlank="1" showInputMessage="1" showErrorMessage="1" sqref="G22:G23 E22:E23" xr:uid="{00000000-0002-0000-0400-000000000000}">
      <formula1>$B$20:$B$21</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0578B-938F-4F6B-B11A-A359EDBEA840}">
  <sheetPr codeName="Feuil29">
    <tabColor theme="7"/>
  </sheetPr>
  <dimension ref="A1:H33"/>
  <sheetViews>
    <sheetView zoomScale="88" zoomScaleNormal="88" workbookViewId="0">
      <selection activeCell="I19" sqref="I19"/>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16384" width="11.54296875" style="2"/>
  </cols>
  <sheetData>
    <row r="1" spans="1:8" ht="54.65" customHeight="1" thickBot="1">
      <c r="C1" s="367" t="s">
        <v>219</v>
      </c>
      <c r="D1" s="368"/>
      <c r="E1" s="368"/>
      <c r="F1" s="368"/>
      <c r="G1" s="368"/>
      <c r="H1" s="369"/>
    </row>
    <row r="2" spans="1:8" ht="24" customHeight="1" thickBot="1">
      <c r="C2" s="277" t="s">
        <v>220</v>
      </c>
      <c r="D2" s="278"/>
      <c r="E2" s="278"/>
      <c r="F2" s="278"/>
      <c r="G2" s="278"/>
      <c r="H2" s="278"/>
    </row>
    <row r="3" spans="1:8" ht="13" thickBot="1">
      <c r="C3" s="3"/>
      <c r="D3" s="3"/>
      <c r="E3" s="3"/>
      <c r="F3" s="3"/>
      <c r="G3" s="3"/>
    </row>
    <row r="4" spans="1:8" ht="74.5" customHeight="1">
      <c r="C4" s="112" t="s">
        <v>131</v>
      </c>
      <c r="D4" s="340" t="s">
        <v>224</v>
      </c>
      <c r="E4" s="341"/>
      <c r="F4" s="341"/>
      <c r="G4" s="341"/>
      <c r="H4" s="342"/>
    </row>
    <row r="5" spans="1:8" ht="13">
      <c r="A5" s="2" t="s">
        <v>3</v>
      </c>
      <c r="C5" s="113" t="s">
        <v>1</v>
      </c>
      <c r="D5" s="337" t="s">
        <v>100</v>
      </c>
      <c r="E5" s="338"/>
      <c r="F5" s="338"/>
      <c r="G5" s="338"/>
      <c r="H5" s="339"/>
    </row>
    <row r="6" spans="1:8" ht="13">
      <c r="C6" s="113" t="s">
        <v>4</v>
      </c>
      <c r="D6" s="343" t="s">
        <v>136</v>
      </c>
      <c r="E6" s="344"/>
      <c r="F6" s="344"/>
      <c r="G6" s="344"/>
      <c r="H6" s="345"/>
    </row>
    <row r="7" spans="1:8" ht="13">
      <c r="C7" s="113" t="s">
        <v>2</v>
      </c>
      <c r="D7" s="337" t="s">
        <v>105</v>
      </c>
      <c r="E7" s="338"/>
      <c r="F7" s="338"/>
      <c r="G7" s="338"/>
      <c r="H7" s="339"/>
    </row>
    <row r="8" spans="1:8" ht="15" customHeight="1" thickBot="1">
      <c r="B8" s="21"/>
      <c r="C8" s="114" t="s">
        <v>152</v>
      </c>
      <c r="D8" s="330" t="s">
        <v>225</v>
      </c>
      <c r="E8" s="331"/>
      <c r="F8" s="331"/>
      <c r="G8" s="331"/>
      <c r="H8" s="332"/>
    </row>
    <row r="9" spans="1:8" ht="13.5" thickBot="1">
      <c r="C9" s="1"/>
      <c r="D9" s="1"/>
      <c r="E9" s="1"/>
      <c r="F9" s="1"/>
      <c r="G9" s="1"/>
    </row>
    <row r="10" spans="1:8" ht="19.899999999999999" customHeight="1" thickBot="1">
      <c r="C10" s="287" t="s">
        <v>6</v>
      </c>
      <c r="D10" s="288"/>
      <c r="E10" s="288"/>
      <c r="F10" s="288"/>
      <c r="G10" s="288"/>
      <c r="H10" s="333"/>
    </row>
    <row r="11" spans="1:8" ht="56" customHeight="1" thickBot="1">
      <c r="C11" s="122" t="s">
        <v>10</v>
      </c>
      <c r="D11" s="353" t="s">
        <v>256</v>
      </c>
      <c r="E11" s="354"/>
      <c r="F11" s="354"/>
      <c r="G11" s="354"/>
      <c r="H11" s="355"/>
    </row>
    <row r="12" spans="1:8" ht="13" thickBot="1"/>
    <row r="13" spans="1:8" ht="19.899999999999999" customHeight="1" thickBot="1">
      <c r="C13" s="287" t="s">
        <v>8</v>
      </c>
      <c r="D13" s="288"/>
      <c r="E13" s="288"/>
      <c r="F13" s="288"/>
      <c r="G13" s="288"/>
      <c r="H13" s="333"/>
    </row>
    <row r="14" spans="1:8" ht="38.5" customHeight="1" thickBot="1">
      <c r="C14" s="116" t="s">
        <v>9</v>
      </c>
      <c r="D14" s="340" t="s">
        <v>257</v>
      </c>
      <c r="E14" s="341"/>
      <c r="F14" s="341"/>
      <c r="G14" s="341"/>
      <c r="H14" s="342"/>
    </row>
    <row r="15" spans="1:8" ht="37" customHeight="1" thickBot="1">
      <c r="C15" s="114" t="s">
        <v>153</v>
      </c>
      <c r="D15" s="353" t="s">
        <v>226</v>
      </c>
      <c r="E15" s="354"/>
      <c r="F15" s="354"/>
      <c r="G15" s="354"/>
      <c r="H15" s="355"/>
    </row>
    <row r="16" spans="1:8">
      <c r="C16" s="2" t="s">
        <v>7</v>
      </c>
    </row>
    <row r="17" spans="2:8" ht="13" thickBot="1"/>
    <row r="18" spans="2:8" ht="19.899999999999999" customHeight="1" thickBot="1">
      <c r="C18" s="289" t="s">
        <v>19</v>
      </c>
      <c r="D18" s="290"/>
      <c r="E18" s="290"/>
      <c r="F18" s="290"/>
      <c r="G18" s="290"/>
      <c r="H18" s="346"/>
    </row>
    <row r="19" spans="2:8" ht="13.5" thickBot="1">
      <c r="C19" s="5"/>
      <c r="D19" s="4"/>
      <c r="E19" s="4"/>
      <c r="F19" s="4"/>
      <c r="G19" s="4"/>
      <c r="H19" s="4"/>
    </row>
    <row r="20" spans="2:8" ht="16" thickBot="1">
      <c r="B20" s="2" t="s">
        <v>96</v>
      </c>
      <c r="C20" s="292" t="s">
        <v>20</v>
      </c>
      <c r="D20" s="293"/>
      <c r="E20" s="293"/>
      <c r="F20" s="293"/>
      <c r="G20" s="293"/>
      <c r="H20" s="329"/>
    </row>
    <row r="21" spans="2:8" ht="20.5" customHeight="1" thickBot="1">
      <c r="B21" s="2" t="s">
        <v>97</v>
      </c>
      <c r="C21" s="11" t="str">
        <f>$D$8</f>
        <v>€/kW/yr</v>
      </c>
      <c r="D21" s="36" t="s">
        <v>239</v>
      </c>
      <c r="E21" s="36"/>
      <c r="F21" s="36" t="s">
        <v>240</v>
      </c>
      <c r="G21" s="36"/>
      <c r="H21" s="10" t="s">
        <v>84</v>
      </c>
    </row>
    <row r="22" spans="2:8" ht="20.5" thickBot="1">
      <c r="C22" s="117" t="s">
        <v>155</v>
      </c>
      <c r="D22" s="184">
        <v>100</v>
      </c>
      <c r="E22" s="32" t="s">
        <v>96</v>
      </c>
      <c r="F22" s="184">
        <v>90</v>
      </c>
      <c r="G22" s="32" t="s">
        <v>96</v>
      </c>
      <c r="H22" s="31" t="s">
        <v>154</v>
      </c>
    </row>
    <row r="23" spans="2:8" ht="13.5" thickBot="1">
      <c r="C23" s="117" t="s">
        <v>155</v>
      </c>
      <c r="D23" s="184">
        <v>120</v>
      </c>
      <c r="E23" s="32" t="s">
        <v>96</v>
      </c>
      <c r="F23" s="184">
        <v>80</v>
      </c>
      <c r="G23" s="32" t="s">
        <v>96</v>
      </c>
      <c r="H23" s="31" t="s">
        <v>142</v>
      </c>
    </row>
    <row r="24" spans="2:8" ht="13.5" thickBot="1">
      <c r="C24" s="117" t="s">
        <v>155</v>
      </c>
      <c r="D24" s="184">
        <v>130</v>
      </c>
      <c r="E24" s="32" t="s">
        <v>97</v>
      </c>
      <c r="F24" s="184">
        <v>70</v>
      </c>
      <c r="G24" s="32" t="s">
        <v>96</v>
      </c>
      <c r="H24" s="31" t="s">
        <v>142</v>
      </c>
    </row>
    <row r="25" spans="2:8" ht="13.5" thickBot="1">
      <c r="C25" s="117" t="s">
        <v>155</v>
      </c>
      <c r="D25" s="184"/>
      <c r="E25" s="32"/>
      <c r="F25" s="184"/>
      <c r="G25" s="32"/>
      <c r="H25" s="31" t="s">
        <v>142</v>
      </c>
    </row>
    <row r="26" spans="2:8" ht="13.5" thickBot="1">
      <c r="C26" s="117" t="s">
        <v>155</v>
      </c>
      <c r="D26" s="184"/>
      <c r="E26" s="32"/>
      <c r="F26" s="184"/>
      <c r="G26" s="32"/>
      <c r="H26" s="31" t="s">
        <v>142</v>
      </c>
    </row>
    <row r="27" spans="2:8" ht="13.5" thickBot="1">
      <c r="C27" s="117" t="s">
        <v>155</v>
      </c>
      <c r="D27" s="184"/>
      <c r="E27" s="32"/>
      <c r="F27" s="184"/>
      <c r="G27" s="32"/>
      <c r="H27" s="31" t="s">
        <v>142</v>
      </c>
    </row>
    <row r="28" spans="2:8" ht="13">
      <c r="C28" s="17" t="s">
        <v>15</v>
      </c>
      <c r="D28" s="283">
        <f>MIN(D22:D27)</f>
        <v>100</v>
      </c>
      <c r="E28" s="284"/>
      <c r="F28" s="284">
        <f>MIN(F22:F27)</f>
        <v>70</v>
      </c>
      <c r="G28" s="284"/>
      <c r="H28" s="154"/>
    </row>
    <row r="29" spans="2:8" ht="13.5" thickBot="1">
      <c r="C29" s="18" t="s">
        <v>16</v>
      </c>
      <c r="D29" s="296">
        <f>MAX(D22:D27)</f>
        <v>130</v>
      </c>
      <c r="E29" s="297"/>
      <c r="F29" s="297">
        <f>MAX(F22:F27)</f>
        <v>90</v>
      </c>
      <c r="G29" s="297"/>
      <c r="H29" s="155"/>
    </row>
    <row r="30" spans="2:8" ht="13.5" thickBot="1">
      <c r="C30" s="19" t="s">
        <v>71</v>
      </c>
      <c r="D30" s="298">
        <f>MEDIAN(D22:D27)</f>
        <v>120</v>
      </c>
      <c r="E30" s="299"/>
      <c r="F30" s="299">
        <f>MEDIAN(F22:F27)</f>
        <v>80</v>
      </c>
      <c r="G30" s="299"/>
      <c r="H30" s="156"/>
    </row>
    <row r="31" spans="2:8" ht="13.5" thickBot="1">
      <c r="C31" s="18" t="s">
        <v>18</v>
      </c>
      <c r="D31" s="298">
        <f>AVERAGEIF(E22:E27,"Y",D22:D27)</f>
        <v>110</v>
      </c>
      <c r="E31" s="299"/>
      <c r="F31" s="299">
        <f>AVERAGEIF(G22:G27,"Y",F22:F27)</f>
        <v>80</v>
      </c>
      <c r="G31" s="299"/>
      <c r="H31" s="156"/>
    </row>
    <row r="32" spans="2:8" ht="13.5" thickBot="1">
      <c r="C32" s="19" t="s">
        <v>17</v>
      </c>
      <c r="D32" s="301">
        <v>115</v>
      </c>
      <c r="E32" s="302"/>
      <c r="F32" s="302">
        <v>120</v>
      </c>
      <c r="G32" s="302"/>
      <c r="H32" s="157"/>
    </row>
    <row r="33" spans="3:8" ht="13">
      <c r="C33" s="1"/>
      <c r="D33" s="3"/>
      <c r="E33" s="3"/>
      <c r="F33" s="3"/>
      <c r="G33" s="3"/>
      <c r="H33" s="3"/>
    </row>
  </sheetData>
  <mergeCells count="24">
    <mergeCell ref="D7:H7"/>
    <mergeCell ref="C1:H1"/>
    <mergeCell ref="C2:H2"/>
    <mergeCell ref="D4:H4"/>
    <mergeCell ref="D5:H5"/>
    <mergeCell ref="D6:H6"/>
    <mergeCell ref="D29:E29"/>
    <mergeCell ref="F29:G29"/>
    <mergeCell ref="D8:H8"/>
    <mergeCell ref="C10:H10"/>
    <mergeCell ref="D11:H11"/>
    <mergeCell ref="C13:H13"/>
    <mergeCell ref="D14:H14"/>
    <mergeCell ref="D15:H15"/>
    <mergeCell ref="C18:H18"/>
    <mergeCell ref="C20:H20"/>
    <mergeCell ref="D28:E28"/>
    <mergeCell ref="F28:G28"/>
    <mergeCell ref="D32:E32"/>
    <mergeCell ref="F32:G32"/>
    <mergeCell ref="D30:E30"/>
    <mergeCell ref="F30:G30"/>
    <mergeCell ref="D31:E31"/>
    <mergeCell ref="F31:G31"/>
  </mergeCells>
  <conditionalFormatting sqref="E22:E27 G22:G27">
    <cfRule type="cellIs" dxfId="43" priority="1" operator="equal">
      <formula>"N"</formula>
    </cfRule>
    <cfRule type="cellIs" dxfId="42" priority="2" operator="equal">
      <formula>"Y"</formula>
    </cfRule>
  </conditionalFormatting>
  <dataValidations count="1">
    <dataValidation type="list" allowBlank="1" showInputMessage="1" showErrorMessage="1" sqref="E22:E27 G22:G27" xr:uid="{AADC4AEB-3CC5-4C59-A6C0-3BC8CF9B8127}">
      <formula1>$B$20:$B$21</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7">
    <tabColor theme="9"/>
  </sheetPr>
  <dimension ref="A1:H32"/>
  <sheetViews>
    <sheetView showGridLines="0" zoomScale="88" zoomScaleNormal="88" workbookViewId="0">
      <selection activeCell="F31" sqref="F31:G31"/>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5.26953125" style="2" customWidth="1"/>
    <col min="6" max="6" width="11.54296875" style="2"/>
    <col min="7" max="7" width="28" style="2" customWidth="1"/>
    <col min="8" max="16384" width="11.54296875" style="2"/>
  </cols>
  <sheetData>
    <row r="1" spans="1:7" ht="19.5" thickBot="1">
      <c r="C1" s="385" t="s">
        <v>0</v>
      </c>
      <c r="D1" s="386"/>
      <c r="E1" s="386"/>
      <c r="F1" s="386"/>
      <c r="G1" s="386"/>
    </row>
    <row r="2" spans="1:7" ht="24" customHeight="1" thickBot="1">
      <c r="C2" s="277" t="str">
        <f>'1. Criteria'!C14</f>
        <v>CO2 emissions/km</v>
      </c>
      <c r="D2" s="278"/>
      <c r="E2" s="278"/>
      <c r="F2" s="278"/>
      <c r="G2" s="278"/>
    </row>
    <row r="3" spans="1:7" ht="13" thickBot="1">
      <c r="C3" s="3"/>
      <c r="D3" s="3"/>
      <c r="E3" s="3"/>
      <c r="F3" s="3"/>
      <c r="G3" s="3"/>
    </row>
    <row r="4" spans="1:7" ht="24" customHeight="1">
      <c r="C4" s="112" t="s">
        <v>131</v>
      </c>
      <c r="D4" s="370" t="s">
        <v>248</v>
      </c>
      <c r="E4" s="371"/>
      <c r="F4" s="371"/>
      <c r="G4" s="372"/>
    </row>
    <row r="5" spans="1:7" ht="13">
      <c r="A5" s="2" t="s">
        <v>3</v>
      </c>
      <c r="C5" s="113" t="s">
        <v>1</v>
      </c>
      <c r="D5" s="337" t="s">
        <v>98</v>
      </c>
      <c r="E5" s="338"/>
      <c r="F5" s="338"/>
      <c r="G5" s="339"/>
    </row>
    <row r="6" spans="1:7" ht="36.65" customHeight="1">
      <c r="C6" s="113" t="s">
        <v>4</v>
      </c>
      <c r="D6" s="337" t="s">
        <v>99</v>
      </c>
      <c r="E6" s="338"/>
      <c r="F6" s="338"/>
      <c r="G6" s="339"/>
    </row>
    <row r="7" spans="1:7" ht="13">
      <c r="C7" s="113" t="s">
        <v>2</v>
      </c>
      <c r="D7" s="337" t="s">
        <v>105</v>
      </c>
      <c r="E7" s="338"/>
      <c r="F7" s="338"/>
      <c r="G7" s="339"/>
    </row>
    <row r="8" spans="1:7" ht="15" customHeight="1" thickBot="1">
      <c r="B8" s="21"/>
      <c r="C8" s="114" t="s">
        <v>130</v>
      </c>
      <c r="D8" s="330" t="s">
        <v>249</v>
      </c>
      <c r="E8" s="331"/>
      <c r="F8" s="331"/>
      <c r="G8" s="332"/>
    </row>
    <row r="9" spans="1:7" ht="13.5" thickBot="1">
      <c r="C9" s="1"/>
      <c r="D9" s="1"/>
      <c r="E9" s="1"/>
      <c r="F9" s="1"/>
      <c r="G9" s="1"/>
    </row>
    <row r="10" spans="1:7" ht="19.899999999999999" customHeight="1" thickBot="1">
      <c r="C10" s="289" t="s">
        <v>6</v>
      </c>
      <c r="D10" s="288"/>
      <c r="E10" s="288"/>
      <c r="F10" s="288"/>
      <c r="G10" s="333"/>
    </row>
    <row r="11" spans="1:7" ht="79.5" customHeight="1" thickBot="1">
      <c r="C11" s="122" t="s">
        <v>10</v>
      </c>
      <c r="D11" s="330" t="s">
        <v>334</v>
      </c>
      <c r="E11" s="331"/>
      <c r="F11" s="331"/>
      <c r="G11" s="332"/>
    </row>
    <row r="12" spans="1:7" ht="13" thickBot="1"/>
    <row r="13" spans="1:7" ht="19.899999999999999" customHeight="1">
      <c r="C13" s="287" t="s">
        <v>8</v>
      </c>
      <c r="D13" s="288"/>
      <c r="E13" s="288"/>
      <c r="F13" s="288"/>
      <c r="G13" s="333"/>
    </row>
    <row r="14" spans="1:7" ht="64.5" customHeight="1" thickBot="1">
      <c r="C14" s="114" t="s">
        <v>153</v>
      </c>
      <c r="D14" s="330" t="s">
        <v>335</v>
      </c>
      <c r="E14" s="331"/>
      <c r="F14" s="331"/>
      <c r="G14" s="332"/>
    </row>
    <row r="15" spans="1:7">
      <c r="C15" s="2" t="s">
        <v>7</v>
      </c>
    </row>
    <row r="17" spans="2:8" ht="19.899999999999999" customHeight="1">
      <c r="C17" s="390" t="s">
        <v>19</v>
      </c>
      <c r="D17" s="391"/>
      <c r="E17" s="391"/>
      <c r="F17" s="391"/>
      <c r="G17" s="391"/>
      <c r="H17" s="391"/>
    </row>
    <row r="18" spans="2:8" ht="13">
      <c r="C18" s="5"/>
      <c r="D18" s="4"/>
      <c r="E18" s="4"/>
      <c r="F18" s="4"/>
      <c r="G18" s="4"/>
    </row>
    <row r="19" spans="2:8" ht="16" thickBot="1">
      <c r="B19" s="2" t="s">
        <v>96</v>
      </c>
      <c r="C19" s="388" t="s">
        <v>20</v>
      </c>
      <c r="D19" s="389"/>
      <c r="E19" s="389"/>
      <c r="F19" s="389"/>
      <c r="G19" s="389"/>
      <c r="H19" s="389"/>
    </row>
    <row r="20" spans="2:8" ht="35" customHeight="1" thickBot="1">
      <c r="B20" s="2" t="s">
        <v>97</v>
      </c>
      <c r="C20" s="11" t="str">
        <f>$D$8</f>
        <v>ppm</v>
      </c>
      <c r="D20" s="36" t="s">
        <v>244</v>
      </c>
      <c r="E20" s="36"/>
      <c r="F20" s="36" t="s">
        <v>250</v>
      </c>
      <c r="G20" s="10"/>
      <c r="H20" s="36" t="s">
        <v>84</v>
      </c>
    </row>
    <row r="21" spans="2:8" ht="13" thickBot="1">
      <c r="C21" s="101" t="s">
        <v>333</v>
      </c>
      <c r="D21" s="3">
        <v>1.3599999999999999E-2</v>
      </c>
      <c r="E21" s="97" t="s">
        <v>96</v>
      </c>
      <c r="F21" s="3">
        <v>1.5599999999999999E-2</v>
      </c>
      <c r="G21" s="182" t="s">
        <v>96</v>
      </c>
      <c r="H21" s="101"/>
    </row>
    <row r="22" spans="2:8" ht="13" thickBot="1">
      <c r="C22" s="101" t="s">
        <v>155</v>
      </c>
      <c r="D22" s="96"/>
      <c r="E22" s="97" t="s">
        <v>96</v>
      </c>
      <c r="F22" s="98"/>
      <c r="G22" s="182" t="s">
        <v>96</v>
      </c>
      <c r="H22" s="212"/>
    </row>
    <row r="23" spans="2:8" ht="13" thickBot="1">
      <c r="C23" s="101" t="s">
        <v>155</v>
      </c>
      <c r="D23" s="98"/>
      <c r="E23" s="97"/>
      <c r="F23" s="98"/>
      <c r="G23" s="182"/>
      <c r="H23" s="212"/>
    </row>
    <row r="24" spans="2:8" ht="13" thickBot="1">
      <c r="C24" s="101" t="s">
        <v>155</v>
      </c>
      <c r="D24" s="98"/>
      <c r="E24" s="97"/>
      <c r="F24" s="98"/>
      <c r="G24" s="182"/>
      <c r="H24" s="212"/>
    </row>
    <row r="25" spans="2:8" ht="13" thickBot="1">
      <c r="C25" s="101" t="s">
        <v>155</v>
      </c>
      <c r="D25" s="98"/>
      <c r="E25" s="97" t="s">
        <v>96</v>
      </c>
      <c r="F25" s="98"/>
      <c r="G25" s="182"/>
      <c r="H25" s="212"/>
    </row>
    <row r="26" spans="2:8" ht="13" thickBot="1">
      <c r="C26" s="101" t="s">
        <v>155</v>
      </c>
      <c r="D26" s="3"/>
      <c r="E26" s="32"/>
      <c r="F26" s="3"/>
      <c r="G26" s="183"/>
      <c r="H26" s="102"/>
    </row>
    <row r="27" spans="2:8" ht="13.15" customHeight="1">
      <c r="C27" s="17" t="s">
        <v>15</v>
      </c>
      <c r="D27" s="319">
        <f>_xlfn.MINIFS(D21:D26,E21:E26,"Y")</f>
        <v>1.3599999999999999E-2</v>
      </c>
      <c r="E27" s="320"/>
      <c r="F27" s="319">
        <f>_xlfn.MINIFS(F21:F26,G21:G26,"Y")</f>
        <v>1.5599999999999999E-2</v>
      </c>
      <c r="G27" s="321"/>
      <c r="H27" s="213"/>
    </row>
    <row r="28" spans="2:8" ht="13.5" thickBot="1">
      <c r="C28" s="18" t="s">
        <v>16</v>
      </c>
      <c r="D28" s="378">
        <f>_xlfn.MAXIFS(D21:D26,E21:E26,"Y")</f>
        <v>1.3599999999999999E-2</v>
      </c>
      <c r="E28" s="379"/>
      <c r="F28" s="378">
        <f>_xlfn.MAXIFS(F21:F26,G21:G26,"Y")</f>
        <v>1.5599999999999999E-2</v>
      </c>
      <c r="G28" s="387"/>
      <c r="H28" s="214"/>
    </row>
    <row r="29" spans="2:8" ht="13.5" thickBot="1">
      <c r="C29" s="19" t="s">
        <v>71</v>
      </c>
      <c r="D29" s="349">
        <f>MEDIAN(D21:D26)</f>
        <v>1.3599999999999999E-2</v>
      </c>
      <c r="E29" s="350"/>
      <c r="F29" s="349">
        <f>MEDIAN(F21:F26)</f>
        <v>1.5599999999999999E-2</v>
      </c>
      <c r="G29" s="392"/>
      <c r="H29" s="215"/>
    </row>
    <row r="30" spans="2:8" ht="13.5" thickBot="1">
      <c r="C30" s="19" t="s">
        <v>18</v>
      </c>
      <c r="D30" s="395">
        <f>AVERAGEIF(E21:E26,"Y",D21:D26)</f>
        <v>1.3599999999999999E-2</v>
      </c>
      <c r="E30" s="396"/>
      <c r="F30" s="395">
        <f>AVERAGEIF(G21:G26,"Y",F21:F26)</f>
        <v>1.5599999999999999E-2</v>
      </c>
      <c r="G30" s="397"/>
      <c r="H30" s="215"/>
    </row>
    <row r="31" spans="2:8" ht="13.5" thickBot="1">
      <c r="C31" s="19" t="s">
        <v>17</v>
      </c>
      <c r="D31" s="393">
        <f>D30</f>
        <v>1.3599999999999999E-2</v>
      </c>
      <c r="E31" s="394"/>
      <c r="F31" s="393">
        <f>F30</f>
        <v>1.5599999999999999E-2</v>
      </c>
      <c r="G31" s="394"/>
      <c r="H31" s="216"/>
    </row>
    <row r="32" spans="2:8" ht="13">
      <c r="C32" s="1"/>
      <c r="D32" s="3"/>
      <c r="E32" s="3"/>
      <c r="F32" s="3"/>
      <c r="G32" s="3"/>
    </row>
  </sheetData>
  <mergeCells count="23">
    <mergeCell ref="C17:H17"/>
    <mergeCell ref="D29:E29"/>
    <mergeCell ref="F29:G29"/>
    <mergeCell ref="D31:E31"/>
    <mergeCell ref="F31:G31"/>
    <mergeCell ref="D30:E30"/>
    <mergeCell ref="F30:G30"/>
    <mergeCell ref="C1:G1"/>
    <mergeCell ref="D28:E28"/>
    <mergeCell ref="D27:E27"/>
    <mergeCell ref="F28:G28"/>
    <mergeCell ref="C2:G2"/>
    <mergeCell ref="D8:G8"/>
    <mergeCell ref="D7:G7"/>
    <mergeCell ref="D6:G6"/>
    <mergeCell ref="D5:G5"/>
    <mergeCell ref="D4:G4"/>
    <mergeCell ref="C10:G10"/>
    <mergeCell ref="D11:G11"/>
    <mergeCell ref="F27:G27"/>
    <mergeCell ref="D14:G14"/>
    <mergeCell ref="C13:G13"/>
    <mergeCell ref="C19:H19"/>
  </mergeCells>
  <conditionalFormatting sqref="G21:G26 E21:E26">
    <cfRule type="cellIs" dxfId="41" priority="41" operator="equal">
      <formula>"N"</formula>
    </cfRule>
    <cfRule type="cellIs" dxfId="40" priority="42" operator="equal">
      <formula>"Y"</formula>
    </cfRule>
  </conditionalFormatting>
  <dataValidations count="1">
    <dataValidation type="list" allowBlank="1" showInputMessage="1" showErrorMessage="1" sqref="G21:G26 E21:E26" xr:uid="{00000000-0002-0000-0500-000000000000}">
      <formula1>$B$19:$B$20</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9">
    <tabColor theme="9"/>
  </sheetPr>
  <dimension ref="A1:H30"/>
  <sheetViews>
    <sheetView showGridLines="0" zoomScale="88" zoomScaleNormal="88" workbookViewId="0">
      <selection activeCell="C34" sqref="C34"/>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9" width="11.54296875" style="2"/>
    <col min="10" max="10" width="41.26953125" style="2" customWidth="1"/>
    <col min="11" max="16384" width="11.54296875" style="2"/>
  </cols>
  <sheetData>
    <row r="1" spans="1:8" ht="19.5" thickBot="1">
      <c r="C1" s="398" t="s">
        <v>87</v>
      </c>
      <c r="D1" s="399"/>
      <c r="E1" s="399"/>
      <c r="F1" s="399"/>
      <c r="G1" s="399"/>
      <c r="H1" s="400"/>
    </row>
    <row r="2" spans="1:8" ht="24" customHeight="1" thickBot="1">
      <c r="C2" s="277" t="str">
        <f>'1. Criteria'!C15</f>
        <v>GHG emissions and GWP</v>
      </c>
      <c r="D2" s="278"/>
      <c r="E2" s="278"/>
      <c r="F2" s="278"/>
      <c r="G2" s="278"/>
      <c r="H2" s="402"/>
    </row>
    <row r="3" spans="1:8" ht="13" thickBot="1">
      <c r="C3" s="3"/>
      <c r="D3" s="3"/>
      <c r="E3" s="3"/>
      <c r="F3" s="3"/>
      <c r="G3" s="3"/>
    </row>
    <row r="4" spans="1:8" ht="13">
      <c r="C4" s="112" t="s">
        <v>131</v>
      </c>
      <c r="D4" s="370" t="s">
        <v>178</v>
      </c>
      <c r="E4" s="371"/>
      <c r="F4" s="371"/>
      <c r="G4" s="371"/>
      <c r="H4" s="372"/>
    </row>
    <row r="5" spans="1:8" ht="13">
      <c r="A5" s="2" t="s">
        <v>3</v>
      </c>
      <c r="C5" s="113" t="s">
        <v>1</v>
      </c>
      <c r="D5" s="337" t="s">
        <v>98</v>
      </c>
      <c r="E5" s="338"/>
      <c r="F5" s="338"/>
      <c r="G5" s="338"/>
      <c r="H5" s="339"/>
    </row>
    <row r="6" spans="1:8" ht="13">
      <c r="C6" s="113" t="s">
        <v>4</v>
      </c>
      <c r="D6" s="337" t="s">
        <v>99</v>
      </c>
      <c r="E6" s="338"/>
      <c r="F6" s="338"/>
      <c r="G6" s="338"/>
      <c r="H6" s="339"/>
    </row>
    <row r="7" spans="1:8" ht="13">
      <c r="C7" s="113" t="s">
        <v>2</v>
      </c>
      <c r="D7" s="337" t="s">
        <v>105</v>
      </c>
      <c r="E7" s="338"/>
      <c r="F7" s="338"/>
      <c r="G7" s="338"/>
      <c r="H7" s="339"/>
    </row>
    <row r="8" spans="1:8" ht="15" customHeight="1" thickBot="1">
      <c r="B8" s="21"/>
      <c r="C8" s="114" t="s">
        <v>5</v>
      </c>
      <c r="D8" s="330" t="s">
        <v>179</v>
      </c>
      <c r="E8" s="331"/>
      <c r="F8" s="331"/>
      <c r="G8" s="331"/>
      <c r="H8" s="332"/>
    </row>
    <row r="9" spans="1:8" ht="13.5" thickBot="1">
      <c r="C9" s="1"/>
      <c r="D9" s="1"/>
      <c r="E9" s="1"/>
      <c r="F9" s="1"/>
      <c r="G9" s="1"/>
    </row>
    <row r="10" spans="1:8" ht="19.899999999999999" customHeight="1" thickBot="1">
      <c r="C10" s="289" t="s">
        <v>6</v>
      </c>
      <c r="D10" s="288"/>
      <c r="E10" s="288"/>
      <c r="F10" s="288"/>
      <c r="G10" s="288"/>
      <c r="H10" s="333"/>
    </row>
    <row r="11" spans="1:8" ht="51.75" customHeight="1" thickBot="1">
      <c r="C11" s="122" t="s">
        <v>10</v>
      </c>
      <c r="D11" s="330" t="s">
        <v>180</v>
      </c>
      <c r="E11" s="331"/>
      <c r="F11" s="331"/>
      <c r="G11" s="331"/>
      <c r="H11" s="332"/>
    </row>
    <row r="12" spans="1:8" ht="13" thickBot="1"/>
    <row r="13" spans="1:8" ht="19.899999999999999" customHeight="1" thickBot="1">
      <c r="C13" s="287" t="s">
        <v>8</v>
      </c>
      <c r="D13" s="288"/>
      <c r="E13" s="288"/>
      <c r="F13" s="288"/>
      <c r="G13" s="288"/>
      <c r="H13" s="333"/>
    </row>
    <row r="14" spans="1:8" ht="153" customHeight="1">
      <c r="C14" s="116" t="s">
        <v>9</v>
      </c>
      <c r="D14" s="337" t="s">
        <v>181</v>
      </c>
      <c r="E14" s="338"/>
      <c r="F14" s="338"/>
      <c r="G14" s="338"/>
      <c r="H14" s="339"/>
    </row>
    <row r="15" spans="1:8" ht="50.5" customHeight="1" thickBot="1">
      <c r="C15" s="114" t="s">
        <v>153</v>
      </c>
      <c r="D15" s="330" t="s">
        <v>182</v>
      </c>
      <c r="E15" s="331"/>
      <c r="F15" s="331"/>
      <c r="G15" s="331"/>
      <c r="H15" s="332"/>
    </row>
    <row r="16" spans="1:8">
      <c r="C16" s="2" t="s">
        <v>7</v>
      </c>
    </row>
    <row r="17" spans="2:8" ht="13" thickBot="1"/>
    <row r="18" spans="2:8" ht="19.899999999999999" customHeight="1" thickBot="1">
      <c r="C18" s="289" t="s">
        <v>19</v>
      </c>
      <c r="D18" s="290"/>
      <c r="E18" s="290"/>
      <c r="F18" s="290"/>
      <c r="G18" s="290"/>
      <c r="H18" s="346"/>
    </row>
    <row r="19" spans="2:8" ht="13.5" thickBot="1">
      <c r="C19" s="5"/>
      <c r="D19" s="4"/>
      <c r="E19" s="4"/>
      <c r="F19" s="4"/>
      <c r="G19" s="4"/>
      <c r="H19" s="4"/>
    </row>
    <row r="20" spans="2:8" ht="16" thickBot="1">
      <c r="B20" s="2" t="s">
        <v>96</v>
      </c>
      <c r="C20" s="292" t="s">
        <v>20</v>
      </c>
      <c r="D20" s="293"/>
      <c r="E20" s="293"/>
      <c r="F20" s="293"/>
      <c r="G20" s="293"/>
      <c r="H20" s="329"/>
    </row>
    <row r="21" spans="2:8" ht="27.5" customHeight="1" thickBot="1">
      <c r="B21" s="2" t="s">
        <v>97</v>
      </c>
      <c r="C21" s="11" t="str">
        <f>$D$8</f>
        <v>gCO2-eq. /kWh</v>
      </c>
      <c r="D21" s="36" t="s">
        <v>251</v>
      </c>
      <c r="E21" s="36"/>
      <c r="F21" s="36" t="s">
        <v>250</v>
      </c>
      <c r="G21" s="36"/>
      <c r="H21" s="10" t="s">
        <v>84</v>
      </c>
    </row>
    <row r="22" spans="2:8" ht="25.5" thickBot="1">
      <c r="C22" s="101" t="s">
        <v>336</v>
      </c>
      <c r="D22" s="98">
        <v>4</v>
      </c>
      <c r="E22" s="97" t="s">
        <v>96</v>
      </c>
      <c r="F22" s="98">
        <v>469</v>
      </c>
      <c r="G22" s="97" t="s">
        <v>96</v>
      </c>
      <c r="H22" s="165"/>
    </row>
    <row r="23" spans="2:8" ht="13" thickBot="1">
      <c r="C23" s="101" t="s">
        <v>155</v>
      </c>
      <c r="D23" s="96">
        <v>10</v>
      </c>
      <c r="E23" s="97" t="s">
        <v>97</v>
      </c>
      <c r="F23" s="96">
        <v>600</v>
      </c>
      <c r="G23" s="97" t="s">
        <v>97</v>
      </c>
      <c r="H23" s="166"/>
    </row>
    <row r="24" spans="2:8" ht="13" thickBot="1">
      <c r="C24" s="101" t="s">
        <v>155</v>
      </c>
      <c r="D24" s="98"/>
      <c r="E24" s="97" t="s">
        <v>97</v>
      </c>
      <c r="F24" s="98"/>
      <c r="G24" s="97" t="s">
        <v>97</v>
      </c>
      <c r="H24" s="165"/>
    </row>
    <row r="25" spans="2:8" ht="13">
      <c r="C25" s="17" t="s">
        <v>15</v>
      </c>
      <c r="D25" s="320">
        <f>_xlfn.MINIFS(D22:D24,E22:E24,"Y")</f>
        <v>4</v>
      </c>
      <c r="E25" s="320"/>
      <c r="F25" s="320">
        <f>_xlfn.MINIFS(F22:F24,G22:G24,"Y")</f>
        <v>469</v>
      </c>
      <c r="G25" s="320"/>
      <c r="H25" s="159"/>
    </row>
    <row r="26" spans="2:8" ht="13.5" thickBot="1">
      <c r="C26" s="18" t="s">
        <v>16</v>
      </c>
      <c r="D26" s="377">
        <f>_xlfn.MAXIFS(D22:D24,E22:E24,"Y")</f>
        <v>4</v>
      </c>
      <c r="E26" s="377"/>
      <c r="F26" s="377">
        <f>_xlfn.MAXIFS(F22:F24,G22:G24,"Y")</f>
        <v>469</v>
      </c>
      <c r="G26" s="377"/>
      <c r="H26" s="6"/>
    </row>
    <row r="27" spans="2:8" ht="13.5" thickBot="1">
      <c r="C27" s="19" t="s">
        <v>71</v>
      </c>
      <c r="D27" s="350">
        <f>MEDIAN(D22:D24)</f>
        <v>7</v>
      </c>
      <c r="E27" s="350"/>
      <c r="F27" s="350">
        <f>MEDIAN(F22:F24)</f>
        <v>534.5</v>
      </c>
      <c r="G27" s="350"/>
      <c r="H27" s="161"/>
    </row>
    <row r="28" spans="2:8" ht="13.5" thickBot="1">
      <c r="C28" s="19" t="s">
        <v>18</v>
      </c>
      <c r="D28" s="350">
        <f>AVERAGEIF(E22:E24,"Y",D22:D24)</f>
        <v>4</v>
      </c>
      <c r="E28" s="350"/>
      <c r="F28" s="350">
        <f>AVERAGEIF(G22:G24,"Y",F22:F24)</f>
        <v>469</v>
      </c>
      <c r="G28" s="350"/>
      <c r="H28" s="161"/>
    </row>
    <row r="29" spans="2:8" ht="13.5" thickBot="1">
      <c r="C29" s="19" t="s">
        <v>17</v>
      </c>
      <c r="D29" s="348">
        <f>D28</f>
        <v>4</v>
      </c>
      <c r="E29" s="401"/>
      <c r="F29" s="348">
        <f>F28</f>
        <v>469</v>
      </c>
      <c r="G29" s="401"/>
      <c r="H29" s="167"/>
    </row>
    <row r="30" spans="2:8" ht="13">
      <c r="C30" s="1"/>
      <c r="D30" s="3"/>
      <c r="E30" s="3"/>
      <c r="F30" s="3"/>
      <c r="G30" s="3"/>
      <c r="H30" s="3"/>
    </row>
  </sheetData>
  <mergeCells count="24">
    <mergeCell ref="D29:E29"/>
    <mergeCell ref="F29:G29"/>
    <mergeCell ref="D28:E28"/>
    <mergeCell ref="F28:G28"/>
    <mergeCell ref="C2:H2"/>
    <mergeCell ref="D4:H4"/>
    <mergeCell ref="D5:H5"/>
    <mergeCell ref="D6:H6"/>
    <mergeCell ref="D7:H7"/>
    <mergeCell ref="C1:H1"/>
    <mergeCell ref="D27:E27"/>
    <mergeCell ref="F27:G27"/>
    <mergeCell ref="D26:E26"/>
    <mergeCell ref="F26:G26"/>
    <mergeCell ref="C20:H20"/>
    <mergeCell ref="C13:H13"/>
    <mergeCell ref="D14:H14"/>
    <mergeCell ref="D15:H15"/>
    <mergeCell ref="C18:H18"/>
    <mergeCell ref="D25:E25"/>
    <mergeCell ref="F25:G25"/>
    <mergeCell ref="D8:H8"/>
    <mergeCell ref="C10:H10"/>
    <mergeCell ref="D11:H11"/>
  </mergeCells>
  <conditionalFormatting sqref="E22:E24 G22:G24">
    <cfRule type="cellIs" dxfId="39" priority="25" operator="equal">
      <formula>"N"</formula>
    </cfRule>
    <cfRule type="cellIs" dxfId="38" priority="26" operator="equal">
      <formula>"Y"</formula>
    </cfRule>
  </conditionalFormatting>
  <dataValidations count="1">
    <dataValidation type="list" allowBlank="1" showInputMessage="1" showErrorMessage="1" sqref="E22:E24 G22:G24" xr:uid="{00000000-0002-0000-0700-000000000000}">
      <formula1>$B$20:$B$21</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0">
    <tabColor theme="9"/>
  </sheetPr>
  <dimension ref="A1:H31"/>
  <sheetViews>
    <sheetView showGridLines="0" zoomScale="88" zoomScaleNormal="88" workbookViewId="0">
      <selection activeCell="D9" sqref="D9:H9"/>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8" width="35.81640625" style="2" customWidth="1"/>
    <col min="9" max="16384" width="11.54296875" style="2"/>
  </cols>
  <sheetData>
    <row r="1" spans="1:8" ht="19.5" thickBot="1">
      <c r="C1" s="398" t="s">
        <v>88</v>
      </c>
      <c r="D1" s="399"/>
      <c r="E1" s="399"/>
      <c r="F1" s="399"/>
      <c r="G1" s="399"/>
      <c r="H1" s="400"/>
    </row>
    <row r="2" spans="1:8" ht="24" customHeight="1" thickBot="1">
      <c r="C2" s="277" t="str">
        <f>'1. Criteria'!C16</f>
        <v>NMVOC</v>
      </c>
      <c r="D2" s="278"/>
      <c r="E2" s="278"/>
      <c r="F2" s="278"/>
      <c r="G2" s="278"/>
      <c r="H2" s="402"/>
    </row>
    <row r="3" spans="1:8" ht="13" thickBot="1">
      <c r="C3" s="3"/>
      <c r="D3" s="3"/>
      <c r="E3" s="3"/>
      <c r="F3" s="3"/>
      <c r="G3" s="3"/>
    </row>
    <row r="4" spans="1:8" ht="14.5" customHeight="1">
      <c r="C4" s="112" t="s">
        <v>131</v>
      </c>
      <c r="D4" s="407" t="s">
        <v>210</v>
      </c>
      <c r="E4" s="371"/>
      <c r="F4" s="371"/>
      <c r="G4" s="371"/>
      <c r="H4" s="372"/>
    </row>
    <row r="5" spans="1:8" ht="13">
      <c r="A5" s="2" t="s">
        <v>3</v>
      </c>
      <c r="C5" s="113" t="s">
        <v>1</v>
      </c>
      <c r="D5" s="408" t="s">
        <v>98</v>
      </c>
      <c r="E5" s="338"/>
      <c r="F5" s="338"/>
      <c r="G5" s="338"/>
      <c r="H5" s="339"/>
    </row>
    <row r="6" spans="1:8" ht="29.5" customHeight="1">
      <c r="C6" s="113" t="s">
        <v>4</v>
      </c>
      <c r="D6" s="408" t="s">
        <v>177</v>
      </c>
      <c r="E6" s="338"/>
      <c r="F6" s="338"/>
      <c r="G6" s="338"/>
      <c r="H6" s="339"/>
    </row>
    <row r="7" spans="1:8" ht="13">
      <c r="C7" s="113" t="s">
        <v>2</v>
      </c>
      <c r="D7" s="408" t="s">
        <v>105</v>
      </c>
      <c r="E7" s="338"/>
      <c r="F7" s="338"/>
      <c r="G7" s="338"/>
      <c r="H7" s="339"/>
    </row>
    <row r="8" spans="1:8" ht="13">
      <c r="B8" s="21" t="s">
        <v>107</v>
      </c>
      <c r="C8" s="123" t="s">
        <v>106</v>
      </c>
      <c r="D8" s="358" t="s">
        <v>108</v>
      </c>
      <c r="E8" s="359"/>
      <c r="F8" s="359"/>
      <c r="G8" s="359"/>
      <c r="H8" s="360"/>
    </row>
    <row r="9" spans="1:8" ht="64.5" customHeight="1" thickBot="1">
      <c r="B9" s="21" t="s">
        <v>108</v>
      </c>
      <c r="C9" s="114" t="s">
        <v>5</v>
      </c>
      <c r="D9" s="406" t="s">
        <v>337</v>
      </c>
      <c r="E9" s="374"/>
      <c r="F9" s="374"/>
      <c r="G9" s="374"/>
      <c r="H9" s="375"/>
    </row>
    <row r="10" spans="1:8" ht="13.5" thickBot="1">
      <c r="C10" s="1"/>
      <c r="D10" s="1"/>
      <c r="E10" s="1"/>
      <c r="F10" s="1"/>
      <c r="G10" s="1"/>
    </row>
    <row r="11" spans="1:8" ht="19.899999999999999" customHeight="1" thickBot="1">
      <c r="C11" s="289" t="s">
        <v>6</v>
      </c>
      <c r="D11" s="288"/>
      <c r="E11" s="288"/>
      <c r="F11" s="288"/>
      <c r="G11" s="288"/>
      <c r="H11" s="333"/>
    </row>
    <row r="12" spans="1:8" ht="126" customHeight="1" thickBot="1">
      <c r="C12" s="122" t="s">
        <v>10</v>
      </c>
      <c r="D12" s="330" t="s">
        <v>183</v>
      </c>
      <c r="E12" s="331"/>
      <c r="F12" s="331"/>
      <c r="G12" s="331"/>
      <c r="H12" s="332"/>
    </row>
    <row r="13" spans="1:8" ht="13" thickBot="1"/>
    <row r="14" spans="1:8" ht="19.899999999999999" customHeight="1" thickBot="1">
      <c r="C14" s="287" t="s">
        <v>8</v>
      </c>
      <c r="D14" s="288"/>
      <c r="E14" s="288"/>
      <c r="F14" s="288"/>
      <c r="G14" s="288"/>
      <c r="H14" s="333"/>
    </row>
    <row r="15" spans="1:8" ht="114.75" customHeight="1" thickBot="1">
      <c r="C15" s="116" t="s">
        <v>9</v>
      </c>
      <c r="D15" s="403" t="s">
        <v>184</v>
      </c>
      <c r="E15" s="404"/>
      <c r="F15" s="404"/>
      <c r="G15" s="404"/>
      <c r="H15" s="405"/>
    </row>
    <row r="16" spans="1:8" ht="117.65" customHeight="1" thickBot="1">
      <c r="C16" s="114" t="s">
        <v>153</v>
      </c>
      <c r="D16" s="403" t="s">
        <v>229</v>
      </c>
      <c r="E16" s="404"/>
      <c r="F16" s="404"/>
      <c r="G16" s="404"/>
      <c r="H16" s="405"/>
    </row>
    <row r="18" spans="2:8" ht="13" thickBot="1"/>
    <row r="19" spans="2:8" ht="19.899999999999999" customHeight="1" thickBot="1">
      <c r="C19" s="289" t="s">
        <v>19</v>
      </c>
      <c r="D19" s="290"/>
      <c r="E19" s="290"/>
      <c r="F19" s="290"/>
      <c r="G19" s="290"/>
      <c r="H19" s="346"/>
    </row>
    <row r="20" spans="2:8" ht="13.5" thickBot="1">
      <c r="C20" s="5"/>
      <c r="D20" s="4"/>
      <c r="E20" s="4"/>
      <c r="F20" s="4"/>
      <c r="G20" s="4"/>
      <c r="H20" s="4"/>
    </row>
    <row r="21" spans="2:8" ht="16" thickBot="1">
      <c r="B21" s="2" t="s">
        <v>96</v>
      </c>
      <c r="C21" s="292" t="s">
        <v>20</v>
      </c>
      <c r="D21" s="293"/>
      <c r="E21" s="293"/>
      <c r="F21" s="293"/>
      <c r="G21" s="293"/>
      <c r="H21" s="329"/>
    </row>
    <row r="22" spans="2:8" ht="24.5" customHeight="1" thickBot="1">
      <c r="B22" s="2" t="s">
        <v>97</v>
      </c>
      <c r="C22" s="11" t="s">
        <v>329</v>
      </c>
      <c r="D22" s="36" t="s">
        <v>251</v>
      </c>
      <c r="E22" s="36"/>
      <c r="F22" s="36" t="s">
        <v>250</v>
      </c>
      <c r="G22" s="36"/>
      <c r="H22" s="10" t="s">
        <v>84</v>
      </c>
    </row>
    <row r="23" spans="2:8" ht="25.5" thickBot="1">
      <c r="C23" s="101" t="s">
        <v>338</v>
      </c>
      <c r="D23" s="3">
        <v>1</v>
      </c>
      <c r="E23" s="32" t="s">
        <v>96</v>
      </c>
      <c r="F23" s="3">
        <v>2</v>
      </c>
      <c r="G23" s="32" t="s">
        <v>96</v>
      </c>
      <c r="H23" s="6"/>
    </row>
    <row r="24" spans="2:8" ht="13" thickBot="1">
      <c r="C24" s="101" t="s">
        <v>155</v>
      </c>
      <c r="D24" s="98"/>
      <c r="E24" s="97"/>
      <c r="F24" s="98"/>
      <c r="G24" s="97" t="s">
        <v>97</v>
      </c>
      <c r="H24" s="165"/>
    </row>
    <row r="25" spans="2:8" ht="13" thickBot="1">
      <c r="C25" s="101" t="s">
        <v>155</v>
      </c>
      <c r="D25" s="98"/>
      <c r="E25" s="97" t="s">
        <v>97</v>
      </c>
      <c r="F25" s="98"/>
      <c r="G25" s="97"/>
      <c r="H25" s="165"/>
    </row>
    <row r="26" spans="2:8" ht="13">
      <c r="C26" s="17" t="s">
        <v>15</v>
      </c>
      <c r="D26" s="317">
        <f>MIN(D23:D25)</f>
        <v>1</v>
      </c>
      <c r="E26" s="317"/>
      <c r="F26" s="317">
        <f>MIN(F23:F25)</f>
        <v>2</v>
      </c>
      <c r="G26" s="317"/>
      <c r="H26" s="8"/>
    </row>
    <row r="27" spans="2:8" ht="13.5" thickBot="1">
      <c r="C27" s="18" t="s">
        <v>16</v>
      </c>
      <c r="D27" s="377">
        <f>MAX(D23:D25)</f>
        <v>1</v>
      </c>
      <c r="E27" s="377"/>
      <c r="F27" s="377">
        <f>MAX(F23:F25)</f>
        <v>2</v>
      </c>
      <c r="G27" s="377"/>
      <c r="H27" s="6"/>
    </row>
    <row r="28" spans="2:8" ht="13.5" thickBot="1">
      <c r="C28" s="19" t="s">
        <v>71</v>
      </c>
      <c r="D28" s="350">
        <f>MEDIAN(D23:D25)</f>
        <v>1</v>
      </c>
      <c r="E28" s="350"/>
      <c r="F28" s="350">
        <f>MEDIAN(F23:F25)</f>
        <v>2</v>
      </c>
      <c r="G28" s="350"/>
      <c r="H28" s="161"/>
    </row>
    <row r="29" spans="2:8" ht="13.5" thickBot="1">
      <c r="C29" s="19" t="s">
        <v>18</v>
      </c>
      <c r="D29" s="350">
        <f>AVERAGEIF(E23:E25,"Y",D23:D25)</f>
        <v>1</v>
      </c>
      <c r="E29" s="350"/>
      <c r="F29" s="350">
        <f>AVERAGEIF(G23:G25,"Y",F23:F25)</f>
        <v>2</v>
      </c>
      <c r="G29" s="350"/>
      <c r="H29" s="161"/>
    </row>
    <row r="30" spans="2:8" ht="13.5" thickBot="1">
      <c r="C30" s="19" t="s">
        <v>17</v>
      </c>
      <c r="D30" s="348">
        <f>D29</f>
        <v>1</v>
      </c>
      <c r="E30" s="401"/>
      <c r="F30" s="348">
        <f>F29</f>
        <v>2</v>
      </c>
      <c r="G30" s="401"/>
      <c r="H30" s="167"/>
    </row>
    <row r="31" spans="2:8" ht="13">
      <c r="C31" s="1"/>
      <c r="D31" s="3"/>
      <c r="E31" s="3"/>
      <c r="F31" s="3"/>
      <c r="G31" s="3"/>
      <c r="H31" s="3"/>
    </row>
  </sheetData>
  <mergeCells count="25">
    <mergeCell ref="D5:H5"/>
    <mergeCell ref="D6:H6"/>
    <mergeCell ref="D7:H7"/>
    <mergeCell ref="D30:E30"/>
    <mergeCell ref="F30:G30"/>
    <mergeCell ref="D27:E27"/>
    <mergeCell ref="F27:G27"/>
    <mergeCell ref="D29:E29"/>
    <mergeCell ref="F29:G29"/>
    <mergeCell ref="C1:H1"/>
    <mergeCell ref="D28:E28"/>
    <mergeCell ref="F28:G28"/>
    <mergeCell ref="C14:H14"/>
    <mergeCell ref="D15:H15"/>
    <mergeCell ref="D16:H16"/>
    <mergeCell ref="C19:H19"/>
    <mergeCell ref="D26:E26"/>
    <mergeCell ref="F26:G26"/>
    <mergeCell ref="C21:H21"/>
    <mergeCell ref="D9:H9"/>
    <mergeCell ref="C11:H11"/>
    <mergeCell ref="D12:H12"/>
    <mergeCell ref="D8:H8"/>
    <mergeCell ref="C2:H2"/>
    <mergeCell ref="D4:H4"/>
  </mergeCells>
  <conditionalFormatting sqref="E23:E25 G23:G25">
    <cfRule type="cellIs" dxfId="37" priority="23" operator="equal">
      <formula>"N"</formula>
    </cfRule>
    <cfRule type="cellIs" dxfId="36" priority="24" operator="equal">
      <formula>"Y"</formula>
    </cfRule>
  </conditionalFormatting>
  <dataValidations count="2">
    <dataValidation type="list" allowBlank="1" showInputMessage="1" showErrorMessage="1" sqref="G23:G25 E23:E25" xr:uid="{00000000-0002-0000-0800-000001000000}">
      <formula1>$B$21:$B$22</formula1>
    </dataValidation>
    <dataValidation type="list" allowBlank="1" showInputMessage="1" showErrorMessage="1" sqref="D8:H8" xr:uid="{00000000-0002-0000-0800-000000000000}">
      <formula1>$B$8:$B$9</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11">
    <tabColor rgb="FFC00000"/>
  </sheetPr>
  <dimension ref="A1:H31"/>
  <sheetViews>
    <sheetView showGridLines="0" zoomScale="88" zoomScaleNormal="88" workbookViewId="0">
      <selection activeCell="C21" sqref="C21"/>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8" width="23.36328125" style="2" customWidth="1"/>
    <col min="9" max="16384" width="11.54296875" style="2"/>
  </cols>
  <sheetData>
    <row r="1" spans="1:8" ht="19.5" thickBot="1">
      <c r="C1" s="409" t="s">
        <v>112</v>
      </c>
      <c r="D1" s="410"/>
      <c r="E1" s="410"/>
      <c r="F1" s="410"/>
      <c r="G1" s="410"/>
      <c r="H1" s="411"/>
    </row>
    <row r="2" spans="1:8" ht="24" customHeight="1" thickBot="1">
      <c r="C2" s="277" t="str">
        <f>'1. Criteria'!C22</f>
        <v>Acceptability</v>
      </c>
      <c r="D2" s="278"/>
      <c r="E2" s="278"/>
      <c r="F2" s="278"/>
      <c r="G2" s="278"/>
      <c r="H2" s="402"/>
    </row>
    <row r="3" spans="1:8" ht="13" thickBot="1">
      <c r="C3" s="3"/>
      <c r="D3" s="3"/>
      <c r="E3" s="3"/>
      <c r="F3" s="3"/>
      <c r="G3" s="3"/>
    </row>
    <row r="4" spans="1:8" ht="26.5" customHeight="1">
      <c r="C4" s="112" t="s">
        <v>131</v>
      </c>
      <c r="D4" s="370" t="s">
        <v>258</v>
      </c>
      <c r="E4" s="371"/>
      <c r="F4" s="371"/>
      <c r="G4" s="371"/>
      <c r="H4" s="372"/>
    </row>
    <row r="5" spans="1:8" ht="13">
      <c r="A5" s="2" t="s">
        <v>3</v>
      </c>
      <c r="C5" s="113" t="s">
        <v>1</v>
      </c>
      <c r="D5" s="337" t="s">
        <v>193</v>
      </c>
      <c r="E5" s="338"/>
      <c r="F5" s="338"/>
      <c r="G5" s="338"/>
      <c r="H5" s="339"/>
    </row>
    <row r="6" spans="1:8" ht="12.75" customHeight="1">
      <c r="C6" s="113" t="s">
        <v>4</v>
      </c>
      <c r="D6" s="358" t="s">
        <v>137</v>
      </c>
      <c r="E6" s="359"/>
      <c r="F6" s="359"/>
      <c r="G6" s="359"/>
      <c r="H6" s="360"/>
    </row>
    <row r="7" spans="1:8" ht="13">
      <c r="C7" s="113" t="s">
        <v>2</v>
      </c>
      <c r="D7" s="337" t="s">
        <v>133</v>
      </c>
      <c r="E7" s="338"/>
      <c r="F7" s="338"/>
      <c r="G7" s="338"/>
      <c r="H7" s="339"/>
    </row>
    <row r="8" spans="1:8" ht="15" customHeight="1" thickBot="1">
      <c r="B8" s="21"/>
      <c r="C8" s="114" t="s">
        <v>5</v>
      </c>
      <c r="D8" s="330" t="s">
        <v>339</v>
      </c>
      <c r="E8" s="331"/>
      <c r="F8" s="331"/>
      <c r="G8" s="331"/>
      <c r="H8" s="332"/>
    </row>
    <row r="9" spans="1:8" ht="13.5" thickBot="1">
      <c r="C9" s="1"/>
      <c r="D9" s="1"/>
      <c r="E9" s="1"/>
      <c r="F9" s="1"/>
      <c r="G9" s="1"/>
    </row>
    <row r="10" spans="1:8" ht="19.899999999999999" customHeight="1" thickBot="1">
      <c r="C10" s="289" t="s">
        <v>6</v>
      </c>
      <c r="D10" s="288"/>
      <c r="E10" s="288"/>
      <c r="F10" s="288"/>
      <c r="G10" s="288"/>
      <c r="H10" s="333"/>
    </row>
    <row r="11" spans="1:8" ht="51.75" customHeight="1" thickBot="1">
      <c r="C11" s="122" t="s">
        <v>10</v>
      </c>
      <c r="D11" s="353" t="s">
        <v>140</v>
      </c>
      <c r="E11" s="354"/>
      <c r="F11" s="354"/>
      <c r="G11" s="354"/>
      <c r="H11" s="355"/>
    </row>
    <row r="12" spans="1:8" ht="13" thickBot="1"/>
    <row r="13" spans="1:8" ht="19.899999999999999" customHeight="1" thickBot="1">
      <c r="C13" s="287" t="s">
        <v>8</v>
      </c>
      <c r="D13" s="288"/>
      <c r="E13" s="288"/>
      <c r="F13" s="288"/>
      <c r="G13" s="288"/>
      <c r="H13" s="333"/>
    </row>
    <row r="14" spans="1:8" ht="102" customHeight="1">
      <c r="C14" s="116" t="s">
        <v>9</v>
      </c>
      <c r="D14" s="340" t="s">
        <v>190</v>
      </c>
      <c r="E14" s="341"/>
      <c r="F14" s="341"/>
      <c r="G14" s="341"/>
      <c r="H14" s="342"/>
    </row>
    <row r="15" spans="1:8" ht="26.25" customHeight="1" thickBot="1">
      <c r="C15" s="114" t="s">
        <v>153</v>
      </c>
      <c r="D15" s="403" t="s">
        <v>211</v>
      </c>
      <c r="E15" s="404"/>
      <c r="F15" s="404"/>
      <c r="G15" s="404"/>
      <c r="H15" s="405"/>
    </row>
    <row r="16" spans="1:8">
      <c r="C16" s="2" t="s">
        <v>7</v>
      </c>
    </row>
    <row r="17" spans="2:8" ht="13" thickBot="1"/>
    <row r="18" spans="2:8" ht="19.899999999999999" customHeight="1" thickBot="1">
      <c r="C18" s="289" t="s">
        <v>19</v>
      </c>
      <c r="D18" s="290"/>
      <c r="E18" s="290"/>
      <c r="F18" s="290"/>
      <c r="G18" s="290"/>
      <c r="H18" s="346"/>
    </row>
    <row r="19" spans="2:8" ht="13.5" thickBot="1">
      <c r="C19" s="5"/>
      <c r="D19" s="4"/>
      <c r="E19" s="4"/>
      <c r="F19" s="4"/>
      <c r="G19" s="4"/>
      <c r="H19" s="4"/>
    </row>
    <row r="20" spans="2:8" ht="16" thickBot="1">
      <c r="B20" s="2" t="s">
        <v>96</v>
      </c>
      <c r="C20" s="292" t="s">
        <v>20</v>
      </c>
      <c r="D20" s="293"/>
      <c r="E20" s="293"/>
      <c r="F20" s="293"/>
      <c r="G20" s="293"/>
      <c r="H20" s="329"/>
    </row>
    <row r="21" spans="2:8" ht="36.5" customHeight="1" thickBot="1">
      <c r="B21" s="2" t="s">
        <v>97</v>
      </c>
      <c r="C21" s="11" t="str">
        <f>$D$8</f>
        <v>Scale (1 = low; 2 = high)</v>
      </c>
      <c r="D21" s="36" t="s">
        <v>251</v>
      </c>
      <c r="E21" s="36"/>
      <c r="F21" s="36" t="s">
        <v>250</v>
      </c>
      <c r="G21" s="36"/>
      <c r="H21" s="10" t="s">
        <v>84</v>
      </c>
    </row>
    <row r="22" spans="2:8" ht="25.5" thickBot="1">
      <c r="C22" s="101" t="s">
        <v>340</v>
      </c>
      <c r="D22" s="3">
        <v>2</v>
      </c>
      <c r="E22" s="32" t="s">
        <v>96</v>
      </c>
      <c r="F22" s="3">
        <v>1</v>
      </c>
      <c r="G22" s="32" t="s">
        <v>96</v>
      </c>
      <c r="H22" s="6"/>
    </row>
    <row r="23" spans="2:8" ht="13" thickBot="1">
      <c r="C23" s="101" t="s">
        <v>155</v>
      </c>
      <c r="D23" s="3"/>
      <c r="E23" s="32"/>
      <c r="F23" s="3"/>
      <c r="G23" s="32"/>
      <c r="H23" s="6"/>
    </row>
    <row r="24" spans="2:8" ht="13" thickBot="1">
      <c r="C24" s="101" t="s">
        <v>155</v>
      </c>
      <c r="D24" s="3"/>
      <c r="E24" s="32"/>
      <c r="F24" s="3"/>
      <c r="G24" s="32"/>
      <c r="H24" s="6"/>
    </row>
    <row r="25" spans="2:8" ht="13" thickBot="1">
      <c r="C25" s="101" t="s">
        <v>155</v>
      </c>
      <c r="D25" s="3"/>
      <c r="E25" s="32"/>
      <c r="F25" s="3"/>
      <c r="G25" s="32"/>
      <c r="H25" s="6"/>
    </row>
    <row r="26" spans="2:8" ht="13.15" customHeight="1">
      <c r="C26" s="17" t="s">
        <v>15</v>
      </c>
      <c r="D26" s="317">
        <f>MIN(D22:D25)</f>
        <v>2</v>
      </c>
      <c r="E26" s="317"/>
      <c r="F26" s="317">
        <f>MIN(F22:F25)</f>
        <v>1</v>
      </c>
      <c r="G26" s="317"/>
      <c r="H26" s="8"/>
    </row>
    <row r="27" spans="2:8" ht="13.5" thickBot="1">
      <c r="C27" s="18" t="s">
        <v>16</v>
      </c>
      <c r="D27" s="377">
        <f>MAX(D22:D25)</f>
        <v>2</v>
      </c>
      <c r="E27" s="377"/>
      <c r="F27" s="377">
        <f>MAX(F22:F25)</f>
        <v>1</v>
      </c>
      <c r="G27" s="377"/>
      <c r="H27" s="6"/>
    </row>
    <row r="28" spans="2:8" ht="13.5" thickBot="1">
      <c r="C28" s="19" t="s">
        <v>71</v>
      </c>
      <c r="D28" s="350">
        <f>MEDIAN(D22:D25)</f>
        <v>2</v>
      </c>
      <c r="E28" s="350"/>
      <c r="F28" s="350">
        <f>MEDIAN(F22:F25)</f>
        <v>1</v>
      </c>
      <c r="G28" s="350"/>
      <c r="H28" s="161"/>
    </row>
    <row r="29" spans="2:8" ht="13.5" thickBot="1">
      <c r="C29" s="19" t="s">
        <v>18</v>
      </c>
      <c r="D29" s="350">
        <f>AVERAGEIF(E22:E25,"Y",D22:D25)</f>
        <v>2</v>
      </c>
      <c r="E29" s="350"/>
      <c r="F29" s="350">
        <f>AVERAGEIF(G22:G25,"Y",F22:F25)</f>
        <v>1</v>
      </c>
      <c r="G29" s="350"/>
      <c r="H29" s="161"/>
    </row>
    <row r="30" spans="2:8" ht="13.5" thickBot="1">
      <c r="C30" s="19" t="s">
        <v>17</v>
      </c>
      <c r="D30" s="348">
        <f>D29</f>
        <v>2</v>
      </c>
      <c r="E30" s="401"/>
      <c r="F30" s="348">
        <f>F29</f>
        <v>1</v>
      </c>
      <c r="G30" s="401"/>
      <c r="H30" s="167"/>
    </row>
    <row r="31" spans="2:8" ht="13">
      <c r="C31" s="1"/>
      <c r="D31" s="3"/>
      <c r="E31" s="3"/>
      <c r="F31" s="3"/>
      <c r="G31" s="3"/>
      <c r="H31" s="3"/>
    </row>
  </sheetData>
  <mergeCells count="24">
    <mergeCell ref="D8:H8"/>
    <mergeCell ref="C10:H10"/>
    <mergeCell ref="D11:H11"/>
    <mergeCell ref="C2:H2"/>
    <mergeCell ref="D4:H4"/>
    <mergeCell ref="D5:H5"/>
    <mergeCell ref="D6:H6"/>
    <mergeCell ref="D7:H7"/>
    <mergeCell ref="D30:E30"/>
    <mergeCell ref="F30:G30"/>
    <mergeCell ref="D27:E27"/>
    <mergeCell ref="F27:G27"/>
    <mergeCell ref="C1:H1"/>
    <mergeCell ref="D29:E29"/>
    <mergeCell ref="F29:G29"/>
    <mergeCell ref="D28:E28"/>
    <mergeCell ref="F28:G28"/>
    <mergeCell ref="C20:H20"/>
    <mergeCell ref="D26:E26"/>
    <mergeCell ref="F26:G26"/>
    <mergeCell ref="C13:H13"/>
    <mergeCell ref="D14:H14"/>
    <mergeCell ref="D15:H15"/>
    <mergeCell ref="C18:H18"/>
  </mergeCells>
  <conditionalFormatting sqref="E22:E25 G22:G25">
    <cfRule type="cellIs" dxfId="35" priority="19" operator="equal">
      <formula>"N"</formula>
    </cfRule>
    <cfRule type="cellIs" dxfId="34" priority="20" operator="equal">
      <formula>"Y"</formula>
    </cfRule>
  </conditionalFormatting>
  <dataValidations count="1">
    <dataValidation type="list" allowBlank="1" showInputMessage="1" showErrorMessage="1" sqref="G22:G25 E22:E25" xr:uid="{00000000-0002-0000-0A00-000000000000}">
      <formula1>$B$20:$B$21</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2">
    <tabColor rgb="FFC00000"/>
  </sheetPr>
  <dimension ref="A1:H30"/>
  <sheetViews>
    <sheetView showGridLines="0" zoomScale="88" zoomScaleNormal="88" workbookViewId="0">
      <selection activeCell="C21" sqref="C21"/>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16384" width="11.54296875" style="2"/>
  </cols>
  <sheetData>
    <row r="1" spans="1:8" ht="19.5" thickBot="1">
      <c r="C1" s="409" t="s">
        <v>113</v>
      </c>
      <c r="D1" s="410"/>
      <c r="E1" s="410"/>
      <c r="F1" s="410"/>
      <c r="G1" s="410"/>
      <c r="H1" s="411"/>
    </row>
    <row r="2" spans="1:8" ht="24" customHeight="1" thickBot="1">
      <c r="C2" s="277" t="str">
        <f>'1. Criteria'!C23</f>
        <v>Awareness</v>
      </c>
      <c r="D2" s="278"/>
      <c r="E2" s="278"/>
      <c r="F2" s="278"/>
      <c r="G2" s="278"/>
      <c r="H2" s="402"/>
    </row>
    <row r="3" spans="1:8" ht="13" thickBot="1">
      <c r="C3" s="3"/>
      <c r="D3" s="3"/>
      <c r="E3" s="3"/>
      <c r="F3" s="3"/>
      <c r="G3" s="3"/>
    </row>
    <row r="4" spans="1:8" ht="23.15" customHeight="1">
      <c r="C4" s="112" t="s">
        <v>131</v>
      </c>
      <c r="D4" s="370" t="s">
        <v>191</v>
      </c>
      <c r="E4" s="371"/>
      <c r="F4" s="371"/>
      <c r="G4" s="371"/>
      <c r="H4" s="372"/>
    </row>
    <row r="5" spans="1:8" ht="13">
      <c r="A5" s="2" t="s">
        <v>3</v>
      </c>
      <c r="C5" s="113" t="s">
        <v>1</v>
      </c>
      <c r="D5" s="337" t="s">
        <v>193</v>
      </c>
      <c r="E5" s="338"/>
      <c r="F5" s="338"/>
      <c r="G5" s="338"/>
      <c r="H5" s="339"/>
    </row>
    <row r="6" spans="1:8" ht="13">
      <c r="C6" s="113" t="s">
        <v>4</v>
      </c>
      <c r="D6" s="337" t="s">
        <v>137</v>
      </c>
      <c r="E6" s="338"/>
      <c r="F6" s="338"/>
      <c r="G6" s="338"/>
      <c r="H6" s="339"/>
    </row>
    <row r="7" spans="1:8" ht="13">
      <c r="C7" s="113" t="s">
        <v>2</v>
      </c>
      <c r="D7" s="337" t="s">
        <v>105</v>
      </c>
      <c r="E7" s="338"/>
      <c r="F7" s="338"/>
      <c r="G7" s="338"/>
      <c r="H7" s="339"/>
    </row>
    <row r="8" spans="1:8" ht="15" customHeight="1" thickBot="1">
      <c r="B8" s="21" t="s">
        <v>108</v>
      </c>
      <c r="C8" s="114" t="s">
        <v>5</v>
      </c>
      <c r="D8" s="330" t="s">
        <v>339</v>
      </c>
      <c r="E8" s="331"/>
      <c r="F8" s="331"/>
      <c r="G8" s="331"/>
      <c r="H8" s="332"/>
    </row>
    <row r="9" spans="1:8" ht="13.5" thickBot="1">
      <c r="C9" s="1"/>
      <c r="D9" s="1"/>
      <c r="E9" s="1"/>
      <c r="F9" s="1"/>
      <c r="G9" s="1"/>
    </row>
    <row r="10" spans="1:8" ht="19.899999999999999" customHeight="1" thickBot="1">
      <c r="C10" s="289" t="s">
        <v>6</v>
      </c>
      <c r="D10" s="288"/>
      <c r="E10" s="288"/>
      <c r="F10" s="288"/>
      <c r="G10" s="288"/>
      <c r="H10" s="333"/>
    </row>
    <row r="11" spans="1:8" ht="64.5" customHeight="1" thickBot="1">
      <c r="C11" s="122" t="s">
        <v>10</v>
      </c>
      <c r="D11" s="353" t="s">
        <v>192</v>
      </c>
      <c r="E11" s="354"/>
      <c r="F11" s="354"/>
      <c r="G11" s="354"/>
      <c r="H11" s="355"/>
    </row>
    <row r="12" spans="1:8" ht="13" thickBot="1"/>
    <row r="13" spans="1:8" ht="19.899999999999999" customHeight="1" thickBot="1">
      <c r="C13" s="287" t="s">
        <v>8</v>
      </c>
      <c r="D13" s="288"/>
      <c r="E13" s="288"/>
      <c r="F13" s="288"/>
      <c r="G13" s="288"/>
      <c r="H13" s="333"/>
    </row>
    <row r="14" spans="1:8" ht="115.5" customHeight="1">
      <c r="C14" s="116" t="s">
        <v>9</v>
      </c>
      <c r="D14" s="340" t="s">
        <v>205</v>
      </c>
      <c r="E14" s="341"/>
      <c r="F14" s="341"/>
      <c r="G14" s="341"/>
      <c r="H14" s="342"/>
    </row>
    <row r="15" spans="1:8" ht="51.75" customHeight="1" thickBot="1">
      <c r="C15" s="114" t="s">
        <v>153</v>
      </c>
      <c r="D15" s="403" t="s">
        <v>212</v>
      </c>
      <c r="E15" s="404"/>
      <c r="F15" s="404"/>
      <c r="G15" s="404"/>
      <c r="H15" s="405"/>
    </row>
    <row r="16" spans="1:8">
      <c r="C16" s="2" t="s">
        <v>7</v>
      </c>
    </row>
    <row r="17" spans="2:8" ht="13" thickBot="1"/>
    <row r="18" spans="2:8" ht="19.899999999999999" customHeight="1" thickBot="1">
      <c r="C18" s="289" t="s">
        <v>19</v>
      </c>
      <c r="D18" s="290"/>
      <c r="E18" s="290"/>
      <c r="F18" s="290"/>
      <c r="G18" s="290"/>
      <c r="H18" s="346"/>
    </row>
    <row r="19" spans="2:8" ht="13.5" thickBot="1">
      <c r="C19" s="5"/>
      <c r="D19" s="4"/>
      <c r="E19" s="4"/>
      <c r="F19" s="4"/>
      <c r="G19" s="4"/>
      <c r="H19" s="4"/>
    </row>
    <row r="20" spans="2:8" ht="16" thickBot="1">
      <c r="B20" s="2" t="s">
        <v>96</v>
      </c>
      <c r="C20" s="292" t="s">
        <v>20</v>
      </c>
      <c r="D20" s="293"/>
      <c r="E20" s="293"/>
      <c r="F20" s="293"/>
      <c r="G20" s="293"/>
      <c r="H20" s="329"/>
    </row>
    <row r="21" spans="2:8" ht="39.5" customHeight="1" thickBot="1">
      <c r="B21" s="2" t="s">
        <v>97</v>
      </c>
      <c r="C21" s="11" t="str">
        <f>$D$8</f>
        <v>Scale (1 = low; 2 = high)</v>
      </c>
      <c r="D21" s="36" t="s">
        <v>251</v>
      </c>
      <c r="E21" s="36"/>
      <c r="F21" s="36" t="s">
        <v>250</v>
      </c>
      <c r="G21" s="36"/>
      <c r="H21" s="10" t="s">
        <v>84</v>
      </c>
    </row>
    <row r="22" spans="2:8" ht="13" thickBot="1">
      <c r="C22" s="101" t="s">
        <v>155</v>
      </c>
      <c r="D22" s="3">
        <v>2</v>
      </c>
      <c r="E22" s="32" t="s">
        <v>96</v>
      </c>
      <c r="F22" s="3">
        <v>1</v>
      </c>
      <c r="G22" s="32" t="s">
        <v>96</v>
      </c>
      <c r="H22" s="6"/>
    </row>
    <row r="23" spans="2:8" ht="13" thickBot="1">
      <c r="C23" s="101" t="s">
        <v>155</v>
      </c>
      <c r="D23" s="3"/>
      <c r="E23" s="32" t="s">
        <v>97</v>
      </c>
      <c r="F23" s="3"/>
      <c r="G23" s="32"/>
      <c r="H23" s="6"/>
    </row>
    <row r="24" spans="2:8" ht="13" thickBot="1">
      <c r="C24" s="101" t="s">
        <v>155</v>
      </c>
      <c r="D24" s="3"/>
      <c r="E24" s="32" t="s">
        <v>97</v>
      </c>
      <c r="F24" s="3"/>
      <c r="G24" s="32" t="s">
        <v>96</v>
      </c>
      <c r="H24" s="6"/>
    </row>
    <row r="25" spans="2:8" ht="13.15" customHeight="1">
      <c r="C25" s="17" t="s">
        <v>15</v>
      </c>
      <c r="D25" s="317">
        <f>MIN(D22:D24)</f>
        <v>2</v>
      </c>
      <c r="E25" s="317"/>
      <c r="F25" s="317">
        <f>MIN(F22:F24)</f>
        <v>1</v>
      </c>
      <c r="G25" s="317"/>
      <c r="H25" s="8"/>
    </row>
    <row r="26" spans="2:8" ht="13.5" thickBot="1">
      <c r="C26" s="18" t="s">
        <v>16</v>
      </c>
      <c r="D26" s="377">
        <f>MAX(D22:D24)</f>
        <v>2</v>
      </c>
      <c r="E26" s="377"/>
      <c r="F26" s="377">
        <f>MAX(F22:F24)</f>
        <v>1</v>
      </c>
      <c r="G26" s="377"/>
      <c r="H26" s="6"/>
    </row>
    <row r="27" spans="2:8" ht="13.5" thickBot="1">
      <c r="C27" s="19" t="s">
        <v>71</v>
      </c>
      <c r="D27" s="350">
        <f>MEDIAN(D22:D24)</f>
        <v>2</v>
      </c>
      <c r="E27" s="350"/>
      <c r="F27" s="350">
        <f>MEDIAN(F22:F24)</f>
        <v>1</v>
      </c>
      <c r="G27" s="350"/>
      <c r="H27" s="161"/>
    </row>
    <row r="28" spans="2:8" ht="13.5" thickBot="1">
      <c r="C28" s="18" t="s">
        <v>18</v>
      </c>
      <c r="D28" s="350">
        <f>AVERAGEIF(E22:E24,"Y",D22:D24)</f>
        <v>2</v>
      </c>
      <c r="E28" s="350"/>
      <c r="F28" s="350">
        <f>AVERAGEIF(G22:G24,"Y",F22:F24)</f>
        <v>1</v>
      </c>
      <c r="G28" s="350"/>
      <c r="H28" s="161"/>
    </row>
    <row r="29" spans="2:8" ht="13.5" thickBot="1">
      <c r="C29" s="19" t="s">
        <v>17</v>
      </c>
      <c r="D29" s="348">
        <f>D28</f>
        <v>2</v>
      </c>
      <c r="E29" s="348"/>
      <c r="F29" s="348">
        <f>F28</f>
        <v>1</v>
      </c>
      <c r="G29" s="348"/>
      <c r="H29" s="168"/>
    </row>
    <row r="30" spans="2:8" ht="13">
      <c r="C30" s="1"/>
      <c r="D30" s="3"/>
      <c r="E30" s="3"/>
      <c r="F30" s="3"/>
      <c r="G30" s="3"/>
      <c r="H30" s="3"/>
    </row>
  </sheetData>
  <mergeCells count="24">
    <mergeCell ref="D8:H8"/>
    <mergeCell ref="C1:H1"/>
    <mergeCell ref="D7:H7"/>
    <mergeCell ref="D11:H11"/>
    <mergeCell ref="C20:H20"/>
    <mergeCell ref="C13:H13"/>
    <mergeCell ref="C18:H18"/>
    <mergeCell ref="C2:H2"/>
    <mergeCell ref="D4:H4"/>
    <mergeCell ref="D5:H5"/>
    <mergeCell ref="D6:H6"/>
    <mergeCell ref="C10:H10"/>
    <mergeCell ref="D14:H14"/>
    <mergeCell ref="D15:H15"/>
    <mergeCell ref="D29:E29"/>
    <mergeCell ref="F29:G29"/>
    <mergeCell ref="D28:E28"/>
    <mergeCell ref="F28:G28"/>
    <mergeCell ref="F25:G25"/>
    <mergeCell ref="D27:E27"/>
    <mergeCell ref="F27:G27"/>
    <mergeCell ref="D26:E26"/>
    <mergeCell ref="F26:G26"/>
    <mergeCell ref="D25:E25"/>
  </mergeCells>
  <conditionalFormatting sqref="E22:E24">
    <cfRule type="cellIs" dxfId="33" priority="17" operator="equal">
      <formula>"N"</formula>
    </cfRule>
    <cfRule type="cellIs" dxfId="32" priority="18" operator="equal">
      <formula>"Y"</formula>
    </cfRule>
  </conditionalFormatting>
  <conditionalFormatting sqref="G22:G24">
    <cfRule type="cellIs" dxfId="31" priority="15" operator="equal">
      <formula>"N"</formula>
    </cfRule>
    <cfRule type="cellIs" dxfId="30" priority="16" operator="equal">
      <formula>"Y"</formula>
    </cfRule>
  </conditionalFormatting>
  <dataValidations count="1">
    <dataValidation type="list" allowBlank="1" showInputMessage="1" showErrorMessage="1" sqref="E22:E24 G22:G24" xr:uid="{00000000-0002-0000-0B00-000000000000}">
      <formula1>$B$20:$B$21</formula1>
    </dataValidation>
  </dataValidations>
  <pageMargins left="0.7" right="0.7" top="0.75" bottom="0.75" header="0.3" footer="0.3"/>
  <pageSetup paperSize="9" orientation="portrait"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13">
    <tabColor rgb="FFC00000"/>
  </sheetPr>
  <dimension ref="A1:H34"/>
  <sheetViews>
    <sheetView showGridLines="0" showRowColHeaders="0" zoomScale="88" zoomScaleNormal="88" workbookViewId="0">
      <selection activeCell="C21" sqref="C21"/>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16384" width="11.54296875" style="2"/>
  </cols>
  <sheetData>
    <row r="1" spans="1:8" ht="19.5" thickBot="1">
      <c r="C1" s="412" t="s">
        <v>115</v>
      </c>
      <c r="D1" s="413"/>
      <c r="E1" s="413"/>
      <c r="F1" s="413"/>
      <c r="G1" s="413"/>
      <c r="H1" s="413"/>
    </row>
    <row r="2" spans="1:8" ht="24" customHeight="1" thickBot="1">
      <c r="C2" s="277" t="str">
        <f>'1. Criteria'!C24</f>
        <v>Health damage</v>
      </c>
      <c r="D2" s="278"/>
      <c r="E2" s="278"/>
      <c r="F2" s="278"/>
      <c r="G2" s="278"/>
      <c r="H2" s="278"/>
    </row>
    <row r="3" spans="1:8" ht="13" thickBot="1">
      <c r="C3" s="3"/>
      <c r="D3" s="3"/>
      <c r="E3" s="3"/>
      <c r="F3" s="3"/>
      <c r="G3" s="3"/>
    </row>
    <row r="4" spans="1:8" ht="39" customHeight="1">
      <c r="C4" s="112" t="s">
        <v>131</v>
      </c>
      <c r="D4" s="370" t="s">
        <v>259</v>
      </c>
      <c r="E4" s="371"/>
      <c r="F4" s="371"/>
      <c r="G4" s="371"/>
      <c r="H4" s="372"/>
    </row>
    <row r="5" spans="1:8" ht="13">
      <c r="A5" s="2" t="s">
        <v>3</v>
      </c>
      <c r="C5" s="113" t="s">
        <v>1</v>
      </c>
      <c r="D5" s="337" t="s">
        <v>193</v>
      </c>
      <c r="E5" s="338"/>
      <c r="F5" s="338"/>
      <c r="G5" s="338"/>
      <c r="H5" s="339"/>
    </row>
    <row r="6" spans="1:8" ht="13">
      <c r="C6" s="113" t="s">
        <v>4</v>
      </c>
      <c r="D6" s="337" t="s">
        <v>85</v>
      </c>
      <c r="E6" s="338"/>
      <c r="F6" s="338"/>
      <c r="G6" s="338"/>
      <c r="H6" s="339"/>
    </row>
    <row r="7" spans="1:8" ht="13">
      <c r="C7" s="113" t="s">
        <v>2</v>
      </c>
      <c r="D7" s="337" t="s">
        <v>105</v>
      </c>
      <c r="E7" s="338"/>
      <c r="F7" s="338"/>
      <c r="G7" s="338"/>
      <c r="H7" s="339"/>
    </row>
    <row r="8" spans="1:8" ht="68" customHeight="1" thickBot="1">
      <c r="B8" s="21" t="s">
        <v>108</v>
      </c>
      <c r="C8" s="114" t="s">
        <v>5</v>
      </c>
      <c r="D8" s="406" t="s">
        <v>341</v>
      </c>
      <c r="E8" s="374"/>
      <c r="F8" s="374"/>
      <c r="G8" s="374"/>
      <c r="H8" s="375"/>
    </row>
    <row r="9" spans="1:8" ht="13.5" thickBot="1">
      <c r="C9" s="1"/>
      <c r="D9" s="1"/>
      <c r="E9" s="1"/>
      <c r="F9" s="1"/>
      <c r="G9" s="1"/>
    </row>
    <row r="10" spans="1:8" ht="19.899999999999999" customHeight="1" thickBot="1">
      <c r="C10" s="289" t="s">
        <v>6</v>
      </c>
      <c r="D10" s="288"/>
      <c r="E10" s="288"/>
      <c r="F10" s="288"/>
      <c r="G10" s="288"/>
      <c r="H10" s="333"/>
    </row>
    <row r="11" spans="1:8" ht="67.5" customHeight="1" thickBot="1">
      <c r="C11" s="122" t="s">
        <v>10</v>
      </c>
      <c r="D11" s="414" t="s">
        <v>260</v>
      </c>
      <c r="E11" s="415"/>
      <c r="F11" s="415"/>
      <c r="G11" s="415"/>
      <c r="H11" s="416"/>
    </row>
    <row r="12" spans="1:8" ht="13" thickBot="1"/>
    <row r="13" spans="1:8" ht="19.899999999999999" customHeight="1" thickBot="1">
      <c r="C13" s="287" t="s">
        <v>8</v>
      </c>
      <c r="D13" s="288"/>
      <c r="E13" s="288"/>
      <c r="F13" s="288"/>
      <c r="G13" s="288"/>
      <c r="H13" s="333"/>
    </row>
    <row r="14" spans="1:8" ht="162" customHeight="1">
      <c r="C14" s="116" t="str">
        <f>'1. Criteria'!C24</f>
        <v>Health damage</v>
      </c>
      <c r="D14" s="340" t="s">
        <v>194</v>
      </c>
      <c r="E14" s="341"/>
      <c r="F14" s="341"/>
      <c r="G14" s="341"/>
      <c r="H14" s="342"/>
    </row>
    <row r="15" spans="1:8" ht="51.75" customHeight="1" thickBot="1">
      <c r="C15" s="114" t="s">
        <v>153</v>
      </c>
      <c r="D15" s="403" t="s">
        <v>213</v>
      </c>
      <c r="E15" s="404"/>
      <c r="F15" s="404"/>
      <c r="G15" s="404"/>
      <c r="H15" s="405"/>
    </row>
    <row r="16" spans="1:8">
      <c r="C16" s="2" t="s">
        <v>7</v>
      </c>
    </row>
    <row r="17" spans="2:8" ht="13" thickBot="1"/>
    <row r="18" spans="2:8" ht="19.899999999999999" customHeight="1" thickBot="1">
      <c r="C18" s="289" t="s">
        <v>19</v>
      </c>
      <c r="D18" s="290"/>
      <c r="E18" s="290"/>
      <c r="F18" s="290"/>
      <c r="G18" s="290"/>
      <c r="H18" s="346"/>
    </row>
    <row r="19" spans="2:8" ht="13.5" thickBot="1">
      <c r="C19" s="5"/>
      <c r="D19" s="4"/>
      <c r="E19" s="4"/>
      <c r="F19" s="4"/>
      <c r="G19" s="4"/>
      <c r="H19" s="4"/>
    </row>
    <row r="20" spans="2:8" ht="16" thickBot="1">
      <c r="B20" s="2" t="s">
        <v>96</v>
      </c>
      <c r="C20" s="292" t="s">
        <v>20</v>
      </c>
      <c r="D20" s="293"/>
      <c r="E20" s="293"/>
      <c r="F20" s="293"/>
      <c r="G20" s="293"/>
      <c r="H20" s="329"/>
    </row>
    <row r="21" spans="2:8" ht="26.5" customHeight="1" thickBot="1">
      <c r="B21" s="2" t="s">
        <v>97</v>
      </c>
      <c r="C21" s="11" t="s">
        <v>339</v>
      </c>
      <c r="D21" s="36" t="s">
        <v>261</v>
      </c>
      <c r="E21" s="36"/>
      <c r="F21" s="36" t="s">
        <v>250</v>
      </c>
      <c r="G21" s="36"/>
      <c r="H21" s="10" t="s">
        <v>84</v>
      </c>
    </row>
    <row r="22" spans="2:8" ht="13" thickBot="1">
      <c r="C22" s="101" t="s">
        <v>155</v>
      </c>
      <c r="D22" s="3">
        <v>1</v>
      </c>
      <c r="E22" s="32" t="s">
        <v>96</v>
      </c>
      <c r="F22" s="3">
        <v>2</v>
      </c>
      <c r="G22" s="32" t="s">
        <v>96</v>
      </c>
      <c r="H22" s="6"/>
    </row>
    <row r="23" spans="2:8" ht="13" thickBot="1">
      <c r="C23" s="101" t="s">
        <v>155</v>
      </c>
      <c r="D23" s="3"/>
      <c r="E23" s="32"/>
      <c r="F23" s="3"/>
      <c r="G23" s="32"/>
      <c r="H23" s="6"/>
    </row>
    <row r="24" spans="2:8" ht="13" thickBot="1">
      <c r="C24" s="101" t="s">
        <v>155</v>
      </c>
      <c r="D24" s="3"/>
      <c r="E24" s="32"/>
      <c r="F24" s="3"/>
      <c r="G24" s="32"/>
      <c r="H24" s="158"/>
    </row>
    <row r="25" spans="2:8" ht="13" thickBot="1">
      <c r="C25" s="101" t="s">
        <v>155</v>
      </c>
      <c r="D25" s="35"/>
      <c r="E25" s="32"/>
      <c r="F25" s="3"/>
      <c r="G25" s="32"/>
      <c r="H25" s="158"/>
    </row>
    <row r="26" spans="2:8" ht="13" thickBot="1">
      <c r="C26" s="101" t="s">
        <v>155</v>
      </c>
      <c r="D26" s="3"/>
      <c r="E26" s="32"/>
      <c r="F26" s="3"/>
      <c r="G26" s="32"/>
      <c r="H26" s="6"/>
    </row>
    <row r="27" spans="2:8" ht="30" customHeight="1" thickBot="1">
      <c r="C27" s="101" t="s">
        <v>155</v>
      </c>
      <c r="D27" s="169"/>
      <c r="E27" s="170"/>
      <c r="F27" s="169"/>
      <c r="G27" s="170"/>
      <c r="H27" s="171"/>
    </row>
    <row r="28" spans="2:8" ht="13" thickBot="1">
      <c r="C28" s="101" t="s">
        <v>155</v>
      </c>
      <c r="D28" s="3"/>
      <c r="E28" s="32"/>
      <c r="F28" s="3"/>
      <c r="G28" s="32"/>
      <c r="H28" s="6"/>
    </row>
    <row r="29" spans="2:8" ht="13.15" customHeight="1">
      <c r="C29" s="17" t="s">
        <v>15</v>
      </c>
      <c r="D29" s="320">
        <f>MIN(D22:D28)</f>
        <v>1</v>
      </c>
      <c r="E29" s="320"/>
      <c r="F29" s="320">
        <f>MIN(F22:F28)</f>
        <v>2</v>
      </c>
      <c r="G29" s="320"/>
      <c r="H29" s="159"/>
    </row>
    <row r="30" spans="2:8" ht="13.5" thickBot="1">
      <c r="C30" s="18" t="s">
        <v>16</v>
      </c>
      <c r="D30" s="384">
        <f>MAX(D22:D28)</f>
        <v>1</v>
      </c>
      <c r="E30" s="384"/>
      <c r="F30" s="384">
        <f>MAX(F22:F28)</f>
        <v>2</v>
      </c>
      <c r="G30" s="384"/>
      <c r="H30" s="158"/>
    </row>
    <row r="31" spans="2:8" ht="13.5" thickBot="1">
      <c r="C31" s="19" t="s">
        <v>71</v>
      </c>
      <c r="D31" s="350">
        <f>MEDIAN(D22:D28)</f>
        <v>1</v>
      </c>
      <c r="E31" s="350"/>
      <c r="F31" s="350">
        <f>MEDIAN(F22:F28)</f>
        <v>2</v>
      </c>
      <c r="G31" s="350"/>
      <c r="H31" s="161"/>
    </row>
    <row r="32" spans="2:8" ht="13.5" thickBot="1">
      <c r="C32" s="19" t="s">
        <v>18</v>
      </c>
      <c r="D32" s="350">
        <f>AVERAGEIF(E22:E28,"Y",D22:D28)</f>
        <v>1</v>
      </c>
      <c r="E32" s="350"/>
      <c r="F32" s="350">
        <f>AVERAGEIF(G22:G28,"Y",F22:F28)</f>
        <v>2</v>
      </c>
      <c r="G32" s="350"/>
      <c r="H32" s="161"/>
    </row>
    <row r="33" spans="3:8" ht="13.5" thickBot="1">
      <c r="C33" s="19" t="s">
        <v>17</v>
      </c>
      <c r="D33" s="348">
        <f>D32</f>
        <v>1</v>
      </c>
      <c r="E33" s="401"/>
      <c r="F33" s="348">
        <f>F32</f>
        <v>2</v>
      </c>
      <c r="G33" s="401"/>
      <c r="H33" s="167"/>
    </row>
    <row r="34" spans="3:8" ht="13">
      <c r="C34" s="1"/>
      <c r="D34" s="3"/>
      <c r="E34" s="3"/>
      <c r="F34" s="3"/>
      <c r="G34" s="3"/>
      <c r="H34" s="3"/>
    </row>
  </sheetData>
  <mergeCells count="24">
    <mergeCell ref="D33:E33"/>
    <mergeCell ref="F33:G33"/>
    <mergeCell ref="D31:E31"/>
    <mergeCell ref="D6:H6"/>
    <mergeCell ref="D7:H7"/>
    <mergeCell ref="D8:H8"/>
    <mergeCell ref="C10:H10"/>
    <mergeCell ref="D11:H11"/>
    <mergeCell ref="C20:H20"/>
    <mergeCell ref="D29:E29"/>
    <mergeCell ref="F29:G29"/>
    <mergeCell ref="D5:H5"/>
    <mergeCell ref="F31:G31"/>
    <mergeCell ref="C1:H1"/>
    <mergeCell ref="D32:E32"/>
    <mergeCell ref="F32:G32"/>
    <mergeCell ref="D30:E30"/>
    <mergeCell ref="F30:G30"/>
    <mergeCell ref="C13:H13"/>
    <mergeCell ref="D14:H14"/>
    <mergeCell ref="D15:H15"/>
    <mergeCell ref="C18:H18"/>
    <mergeCell ref="C2:H2"/>
    <mergeCell ref="D4:H4"/>
  </mergeCells>
  <conditionalFormatting sqref="E22:E28">
    <cfRule type="cellIs" dxfId="29" priority="21" operator="equal">
      <formula>"N"</formula>
    </cfRule>
    <cfRule type="cellIs" dxfId="28" priority="22" operator="equal">
      <formula>"Y"</formula>
    </cfRule>
  </conditionalFormatting>
  <conditionalFormatting sqref="G22:G28">
    <cfRule type="cellIs" dxfId="27" priority="19" operator="equal">
      <formula>"N"</formula>
    </cfRule>
    <cfRule type="cellIs" dxfId="26" priority="20" operator="equal">
      <formula>"Y"</formula>
    </cfRule>
  </conditionalFormatting>
  <dataValidations count="1">
    <dataValidation type="list" allowBlank="1" showInputMessage="1" showErrorMessage="1" sqref="E22:E28 G22:G28" xr:uid="{00000000-0002-0000-0C00-000000000000}">
      <formula1>$B$20:$B$21</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20">
    <tabColor rgb="FFC00000"/>
  </sheetPr>
  <dimension ref="A1:K34"/>
  <sheetViews>
    <sheetView zoomScale="88" zoomScaleNormal="88" workbookViewId="0">
      <selection activeCell="C22" sqref="C22"/>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16384" width="11.54296875" style="2"/>
  </cols>
  <sheetData>
    <row r="1" spans="1:11" ht="19.5" thickBot="1">
      <c r="C1" s="412" t="s">
        <v>160</v>
      </c>
      <c r="D1" s="413"/>
      <c r="E1" s="413"/>
      <c r="F1" s="413"/>
      <c r="G1" s="413"/>
      <c r="H1" s="413"/>
    </row>
    <row r="2" spans="1:11" ht="49.5" customHeight="1" thickBot="1">
      <c r="C2" s="277" t="str">
        <f>'1. Criteria'!C25</f>
        <v>Social benefits</v>
      </c>
      <c r="D2" s="278"/>
      <c r="E2" s="278"/>
      <c r="F2" s="278"/>
      <c r="G2" s="278"/>
      <c r="H2" s="278"/>
      <c r="K2" s="136" t="s">
        <v>264</v>
      </c>
    </row>
    <row r="3" spans="1:11" ht="13" thickBot="1">
      <c r="C3" s="3"/>
      <c r="D3" s="3"/>
      <c r="E3" s="3"/>
      <c r="F3" s="3"/>
      <c r="G3" s="3"/>
    </row>
    <row r="4" spans="1:11" ht="35.5" customHeight="1">
      <c r="C4" s="112" t="s">
        <v>131</v>
      </c>
      <c r="D4" s="370" t="s">
        <v>262</v>
      </c>
      <c r="E4" s="371"/>
      <c r="F4" s="371"/>
      <c r="G4" s="371"/>
      <c r="H4" s="372"/>
    </row>
    <row r="5" spans="1:11" ht="13">
      <c r="A5" s="2" t="s">
        <v>3</v>
      </c>
      <c r="C5" s="113" t="s">
        <v>1</v>
      </c>
      <c r="D5" s="337" t="s">
        <v>114</v>
      </c>
      <c r="E5" s="338"/>
      <c r="F5" s="338"/>
      <c r="G5" s="338"/>
      <c r="H5" s="339"/>
    </row>
    <row r="6" spans="1:11" ht="13">
      <c r="C6" s="113" t="s">
        <v>4</v>
      </c>
      <c r="D6" s="337" t="s">
        <v>195</v>
      </c>
      <c r="E6" s="338"/>
      <c r="F6" s="338"/>
      <c r="G6" s="338"/>
      <c r="H6" s="339"/>
    </row>
    <row r="7" spans="1:11" ht="13">
      <c r="C7" s="113" t="s">
        <v>2</v>
      </c>
      <c r="D7" s="337" t="s">
        <v>105</v>
      </c>
      <c r="E7" s="338"/>
      <c r="F7" s="338"/>
      <c r="G7" s="338"/>
      <c r="H7" s="339"/>
    </row>
    <row r="8" spans="1:11" ht="39" customHeight="1" thickBot="1">
      <c r="B8" s="21" t="s">
        <v>108</v>
      </c>
      <c r="C8" s="114" t="s">
        <v>5</v>
      </c>
      <c r="D8" s="417" t="s">
        <v>342</v>
      </c>
      <c r="E8" s="418"/>
      <c r="F8" s="418"/>
      <c r="G8" s="418"/>
      <c r="H8" s="419"/>
    </row>
    <row r="9" spans="1:11" ht="13.5" thickBot="1">
      <c r="C9" s="1"/>
      <c r="D9" s="1"/>
      <c r="E9" s="1"/>
      <c r="F9" s="1"/>
      <c r="G9" s="1"/>
    </row>
    <row r="10" spans="1:11" ht="19.899999999999999" customHeight="1" thickBot="1">
      <c r="C10" s="289" t="s">
        <v>6</v>
      </c>
      <c r="D10" s="288"/>
      <c r="E10" s="288"/>
      <c r="F10" s="288"/>
      <c r="G10" s="288"/>
      <c r="H10" s="333"/>
    </row>
    <row r="11" spans="1:11" ht="51.75" customHeight="1" thickBot="1">
      <c r="C11" s="122" t="s">
        <v>10</v>
      </c>
      <c r="D11" s="414" t="s">
        <v>263</v>
      </c>
      <c r="E11" s="415"/>
      <c r="F11" s="415"/>
      <c r="G11" s="415"/>
      <c r="H11" s="416"/>
    </row>
    <row r="12" spans="1:11" ht="13" thickBot="1"/>
    <row r="13" spans="1:11" ht="19.899999999999999" customHeight="1" thickBot="1">
      <c r="C13" s="287" t="s">
        <v>8</v>
      </c>
      <c r="D13" s="288"/>
      <c r="E13" s="288"/>
      <c r="F13" s="288"/>
      <c r="G13" s="288"/>
      <c r="H13" s="333"/>
    </row>
    <row r="14" spans="1:11" ht="114.75" customHeight="1" thickBot="1">
      <c r="C14" s="116" t="s">
        <v>9</v>
      </c>
      <c r="D14" s="414" t="s">
        <v>196</v>
      </c>
      <c r="E14" s="415"/>
      <c r="F14" s="415"/>
      <c r="G14" s="415"/>
      <c r="H14" s="416"/>
    </row>
    <row r="15" spans="1:11" ht="51.75" customHeight="1" thickBot="1">
      <c r="C15" s="114" t="s">
        <v>153</v>
      </c>
      <c r="D15" s="403" t="s">
        <v>228</v>
      </c>
      <c r="E15" s="404"/>
      <c r="F15" s="404"/>
      <c r="G15" s="404"/>
      <c r="H15" s="405"/>
    </row>
    <row r="16" spans="1:11">
      <c r="C16" s="2" t="s">
        <v>7</v>
      </c>
    </row>
    <row r="17" spans="2:8" ht="13" thickBot="1"/>
    <row r="18" spans="2:8" ht="19.899999999999999" customHeight="1" thickBot="1">
      <c r="C18" s="289" t="s">
        <v>19</v>
      </c>
      <c r="D18" s="290"/>
      <c r="E18" s="290"/>
      <c r="F18" s="290"/>
      <c r="G18" s="290"/>
      <c r="H18" s="346"/>
    </row>
    <row r="19" spans="2:8" ht="13.5" thickBot="1">
      <c r="C19" s="5"/>
      <c r="D19" s="4"/>
      <c r="E19" s="4"/>
      <c r="F19" s="4"/>
      <c r="G19" s="4"/>
      <c r="H19" s="4"/>
    </row>
    <row r="20" spans="2:8" ht="16" thickBot="1">
      <c r="B20" s="2" t="s">
        <v>96</v>
      </c>
      <c r="C20" s="292" t="s">
        <v>20</v>
      </c>
      <c r="D20" s="293"/>
      <c r="E20" s="293"/>
      <c r="F20" s="293"/>
      <c r="G20" s="293"/>
      <c r="H20" s="329"/>
    </row>
    <row r="21" spans="2:8" ht="28" customHeight="1" thickBot="1">
      <c r="B21" s="2" t="s">
        <v>97</v>
      </c>
      <c r="C21" s="11" t="s">
        <v>339</v>
      </c>
      <c r="D21" s="36" t="s">
        <v>251</v>
      </c>
      <c r="E21" s="36"/>
      <c r="F21" s="36" t="s">
        <v>250</v>
      </c>
      <c r="G21" s="36"/>
      <c r="H21" s="10" t="s">
        <v>84</v>
      </c>
    </row>
    <row r="22" spans="2:8" ht="28" customHeight="1" thickBot="1">
      <c r="C22" s="101" t="s">
        <v>343</v>
      </c>
      <c r="D22" s="3">
        <v>2</v>
      </c>
      <c r="E22" s="32" t="s">
        <v>96</v>
      </c>
      <c r="F22" s="3">
        <v>1</v>
      </c>
      <c r="G22" s="32" t="s">
        <v>96</v>
      </c>
      <c r="H22" s="6"/>
    </row>
    <row r="23" spans="2:8" ht="13" thickBot="1">
      <c r="C23" s="101" t="s">
        <v>155</v>
      </c>
      <c r="D23" s="3"/>
      <c r="E23" s="32" t="s">
        <v>97</v>
      </c>
      <c r="F23" s="3"/>
      <c r="G23" s="32" t="s">
        <v>97</v>
      </c>
      <c r="H23" s="6"/>
    </row>
    <row r="24" spans="2:8" ht="13" thickBot="1">
      <c r="C24" s="101" t="s">
        <v>155</v>
      </c>
      <c r="D24" s="3"/>
      <c r="E24" s="32"/>
      <c r="F24" s="3"/>
      <c r="G24" s="32"/>
      <c r="H24" s="158"/>
    </row>
    <row r="25" spans="2:8" ht="13" thickBot="1">
      <c r="C25" s="101" t="s">
        <v>155</v>
      </c>
      <c r="D25" s="35"/>
      <c r="E25" s="32"/>
      <c r="F25" s="3"/>
      <c r="G25" s="32"/>
      <c r="H25" s="158"/>
    </row>
    <row r="26" spans="2:8" ht="13" thickBot="1">
      <c r="C26" s="101" t="s">
        <v>155</v>
      </c>
      <c r="D26" s="3"/>
      <c r="E26" s="32"/>
      <c r="F26" s="3"/>
      <c r="G26" s="32"/>
      <c r="H26" s="6"/>
    </row>
    <row r="27" spans="2:8" ht="30" customHeight="1" thickBot="1">
      <c r="C27" s="101" t="s">
        <v>155</v>
      </c>
      <c r="D27" s="169"/>
      <c r="E27" s="170"/>
      <c r="F27" s="169"/>
      <c r="G27" s="170"/>
      <c r="H27" s="171"/>
    </row>
    <row r="28" spans="2:8" ht="13" thickBot="1">
      <c r="C28" s="101" t="s">
        <v>155</v>
      </c>
      <c r="D28" s="3"/>
      <c r="E28" s="32"/>
      <c r="F28" s="3"/>
      <c r="G28" s="32"/>
      <c r="H28" s="6"/>
    </row>
    <row r="29" spans="2:8" ht="13.15" customHeight="1">
      <c r="C29" s="17" t="s">
        <v>15</v>
      </c>
      <c r="D29" s="320">
        <f>MIN(D22:D28)</f>
        <v>2</v>
      </c>
      <c r="E29" s="320"/>
      <c r="F29" s="320">
        <f>MIN(F22:F28)</f>
        <v>1</v>
      </c>
      <c r="G29" s="320"/>
      <c r="H29" s="159"/>
    </row>
    <row r="30" spans="2:8" ht="13.5" thickBot="1">
      <c r="C30" s="18" t="s">
        <v>16</v>
      </c>
      <c r="D30" s="384">
        <f>MAX(D22:D28)</f>
        <v>2</v>
      </c>
      <c r="E30" s="384"/>
      <c r="F30" s="384">
        <f>MAX(F22:F28)</f>
        <v>1</v>
      </c>
      <c r="G30" s="384"/>
      <c r="H30" s="158"/>
    </row>
    <row r="31" spans="2:8" ht="13.5" thickBot="1">
      <c r="C31" s="19" t="s">
        <v>71</v>
      </c>
      <c r="D31" s="350">
        <f>MEDIAN(D22:D28)</f>
        <v>2</v>
      </c>
      <c r="E31" s="350"/>
      <c r="F31" s="350">
        <f>MEDIAN(F22:F28)</f>
        <v>1</v>
      </c>
      <c r="G31" s="350"/>
      <c r="H31" s="161"/>
    </row>
    <row r="32" spans="2:8" ht="13.5" thickBot="1">
      <c r="C32" s="19" t="s">
        <v>18</v>
      </c>
      <c r="D32" s="350">
        <f>AVERAGEIF(E22:E28,"Y",D22:D28)</f>
        <v>2</v>
      </c>
      <c r="E32" s="350"/>
      <c r="F32" s="350">
        <f>AVERAGEIF(G22:G28,"Y",F22:F28)</f>
        <v>1</v>
      </c>
      <c r="G32" s="350"/>
      <c r="H32" s="161"/>
    </row>
    <row r="33" spans="3:8" ht="13.5" thickBot="1">
      <c r="C33" s="19" t="s">
        <v>17</v>
      </c>
      <c r="D33" s="348">
        <f>D32</f>
        <v>2</v>
      </c>
      <c r="E33" s="401"/>
      <c r="F33" s="348">
        <f>F32</f>
        <v>1</v>
      </c>
      <c r="G33" s="401"/>
      <c r="H33" s="162"/>
    </row>
    <row r="34" spans="3:8" ht="13">
      <c r="C34" s="1"/>
      <c r="D34" s="3"/>
      <c r="E34" s="3"/>
      <c r="F34" s="3"/>
      <c r="G34" s="3"/>
      <c r="H34" s="3"/>
    </row>
  </sheetData>
  <mergeCells count="24">
    <mergeCell ref="C18:H18"/>
    <mergeCell ref="C20:H20"/>
    <mergeCell ref="D29:E29"/>
    <mergeCell ref="F29:G29"/>
    <mergeCell ref="C1:H1"/>
    <mergeCell ref="D15:H15"/>
    <mergeCell ref="C2:H2"/>
    <mergeCell ref="D4:H4"/>
    <mergeCell ref="D5:H5"/>
    <mergeCell ref="D6:H6"/>
    <mergeCell ref="D7:H7"/>
    <mergeCell ref="D8:H8"/>
    <mergeCell ref="C10:H10"/>
    <mergeCell ref="D11:H11"/>
    <mergeCell ref="C13:H13"/>
    <mergeCell ref="D14:H14"/>
    <mergeCell ref="D30:E30"/>
    <mergeCell ref="F30:G30"/>
    <mergeCell ref="D33:E33"/>
    <mergeCell ref="F33:G33"/>
    <mergeCell ref="D32:E32"/>
    <mergeCell ref="F32:G32"/>
    <mergeCell ref="D31:E31"/>
    <mergeCell ref="F31:G31"/>
  </mergeCells>
  <conditionalFormatting sqref="E22:E28">
    <cfRule type="cellIs" dxfId="25" priority="21" operator="equal">
      <formula>"N"</formula>
    </cfRule>
    <cfRule type="cellIs" dxfId="24" priority="22" operator="equal">
      <formula>"Y"</formula>
    </cfRule>
  </conditionalFormatting>
  <conditionalFormatting sqref="G22:G28">
    <cfRule type="cellIs" dxfId="23" priority="19" operator="equal">
      <formula>"N"</formula>
    </cfRule>
    <cfRule type="cellIs" dxfId="22" priority="20" operator="equal">
      <formula>"Y"</formula>
    </cfRule>
  </conditionalFormatting>
  <dataValidations count="1">
    <dataValidation type="list" allowBlank="1" showInputMessage="1" showErrorMessage="1" sqref="E22:E28 G22:G28" xr:uid="{00000000-0002-0000-0D00-000000000000}">
      <formula1>$B$20:$B$21</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21">
    <tabColor rgb="FFC00000"/>
  </sheetPr>
  <dimension ref="A1:H34"/>
  <sheetViews>
    <sheetView zoomScale="88" zoomScaleNormal="88" workbookViewId="0">
      <selection activeCell="C22" sqref="C22"/>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16384" width="11.54296875" style="2"/>
  </cols>
  <sheetData>
    <row r="1" spans="1:8" ht="19.5" thickBot="1">
      <c r="C1" s="412" t="s">
        <v>161</v>
      </c>
      <c r="D1" s="413"/>
      <c r="E1" s="413"/>
      <c r="F1" s="413"/>
      <c r="G1" s="413"/>
      <c r="H1" s="413"/>
    </row>
    <row r="2" spans="1:8" ht="24" customHeight="1" thickBot="1">
      <c r="C2" s="277" t="str">
        <f>'1. Criteria'!C26</f>
        <v>Expertise</v>
      </c>
      <c r="D2" s="278"/>
      <c r="E2" s="278"/>
      <c r="F2" s="278"/>
      <c r="G2" s="278"/>
      <c r="H2" s="278"/>
    </row>
    <row r="3" spans="1:8" ht="13" thickBot="1">
      <c r="C3" s="3"/>
      <c r="D3" s="3"/>
      <c r="E3" s="3"/>
      <c r="F3" s="3"/>
      <c r="G3" s="3"/>
    </row>
    <row r="4" spans="1:8" ht="28.9" customHeight="1">
      <c r="C4" s="112" t="s">
        <v>131</v>
      </c>
      <c r="D4" s="370" t="s">
        <v>265</v>
      </c>
      <c r="E4" s="371"/>
      <c r="F4" s="371"/>
      <c r="G4" s="371"/>
      <c r="H4" s="372"/>
    </row>
    <row r="5" spans="1:8" ht="13">
      <c r="A5" s="2" t="s">
        <v>3</v>
      </c>
      <c r="C5" s="113" t="s">
        <v>1</v>
      </c>
      <c r="D5" s="337" t="s">
        <v>114</v>
      </c>
      <c r="E5" s="338"/>
      <c r="F5" s="338"/>
      <c r="G5" s="338"/>
      <c r="H5" s="339"/>
    </row>
    <row r="6" spans="1:8" ht="13">
      <c r="C6" s="113" t="s">
        <v>4</v>
      </c>
      <c r="D6" s="337" t="s">
        <v>195</v>
      </c>
      <c r="E6" s="338"/>
      <c r="F6" s="338"/>
      <c r="G6" s="338"/>
      <c r="H6" s="339"/>
    </row>
    <row r="7" spans="1:8" ht="13">
      <c r="C7" s="113" t="s">
        <v>2</v>
      </c>
      <c r="D7" s="337" t="s">
        <v>197</v>
      </c>
      <c r="E7" s="338"/>
      <c r="F7" s="338"/>
      <c r="G7" s="338"/>
      <c r="H7" s="339"/>
    </row>
    <row r="8" spans="1:8" ht="43.5" customHeight="1" thickBot="1">
      <c r="B8" s="21" t="s">
        <v>108</v>
      </c>
      <c r="C8" s="114" t="s">
        <v>5</v>
      </c>
      <c r="D8" s="330" t="s">
        <v>344</v>
      </c>
      <c r="E8" s="331"/>
      <c r="F8" s="331"/>
      <c r="G8" s="331"/>
      <c r="H8" s="332"/>
    </row>
    <row r="9" spans="1:8" ht="13.5" thickBot="1">
      <c r="C9" s="1"/>
      <c r="D9" s="1"/>
      <c r="E9" s="1"/>
      <c r="F9" s="1"/>
      <c r="G9" s="1"/>
    </row>
    <row r="10" spans="1:8" ht="19.899999999999999" customHeight="1" thickBot="1">
      <c r="C10" s="289" t="s">
        <v>6</v>
      </c>
      <c r="D10" s="288"/>
      <c r="E10" s="288"/>
      <c r="F10" s="288"/>
      <c r="G10" s="288"/>
      <c r="H10" s="333"/>
    </row>
    <row r="11" spans="1:8" ht="51.75" customHeight="1" thickBot="1">
      <c r="C11" s="122" t="s">
        <v>10</v>
      </c>
      <c r="D11" s="414" t="s">
        <v>214</v>
      </c>
      <c r="E11" s="415"/>
      <c r="F11" s="415"/>
      <c r="G11" s="415"/>
      <c r="H11" s="416"/>
    </row>
    <row r="12" spans="1:8" ht="13" thickBot="1"/>
    <row r="13" spans="1:8" ht="19.899999999999999" customHeight="1" thickBot="1">
      <c r="C13" s="287" t="s">
        <v>8</v>
      </c>
      <c r="D13" s="288"/>
      <c r="E13" s="288"/>
      <c r="F13" s="288"/>
      <c r="G13" s="288"/>
      <c r="H13" s="333"/>
    </row>
    <row r="14" spans="1:8" ht="114.75" customHeight="1">
      <c r="C14" s="116" t="s">
        <v>9</v>
      </c>
      <c r="D14" s="340" t="s">
        <v>206</v>
      </c>
      <c r="E14" s="341"/>
      <c r="F14" s="341"/>
      <c r="G14" s="341"/>
      <c r="H14" s="342"/>
    </row>
    <row r="15" spans="1:8" ht="51.75" customHeight="1" thickBot="1">
      <c r="C15" s="114" t="s">
        <v>153</v>
      </c>
      <c r="D15" s="403" t="s">
        <v>215</v>
      </c>
      <c r="E15" s="404"/>
      <c r="F15" s="404"/>
      <c r="G15" s="404"/>
      <c r="H15" s="405"/>
    </row>
    <row r="16" spans="1:8">
      <c r="C16" s="2" t="s">
        <v>7</v>
      </c>
    </row>
    <row r="17" spans="2:8" ht="13" thickBot="1"/>
    <row r="18" spans="2:8" ht="19.899999999999999" customHeight="1" thickBot="1">
      <c r="C18" s="289" t="s">
        <v>19</v>
      </c>
      <c r="D18" s="290"/>
      <c r="E18" s="290"/>
      <c r="F18" s="290"/>
      <c r="G18" s="290"/>
      <c r="H18" s="346"/>
    </row>
    <row r="19" spans="2:8" ht="13.5" thickBot="1">
      <c r="C19" s="5"/>
      <c r="D19" s="4"/>
      <c r="E19" s="4"/>
      <c r="F19" s="4"/>
      <c r="G19" s="4"/>
      <c r="H19" s="4"/>
    </row>
    <row r="20" spans="2:8" ht="16" thickBot="1">
      <c r="B20" s="2" t="s">
        <v>96</v>
      </c>
      <c r="C20" s="292" t="s">
        <v>20</v>
      </c>
      <c r="D20" s="293"/>
      <c r="E20" s="293"/>
      <c r="F20" s="293"/>
      <c r="G20" s="293"/>
      <c r="H20" s="329"/>
    </row>
    <row r="21" spans="2:8" ht="20.5" customHeight="1" thickBot="1">
      <c r="B21" s="2" t="s">
        <v>97</v>
      </c>
      <c r="C21" s="11" t="s">
        <v>339</v>
      </c>
      <c r="D21" s="36" t="s">
        <v>251</v>
      </c>
      <c r="E21" s="36"/>
      <c r="F21" s="36" t="s">
        <v>250</v>
      </c>
      <c r="G21" s="36"/>
      <c r="H21" s="10" t="s">
        <v>84</v>
      </c>
    </row>
    <row r="22" spans="2:8" ht="30" customHeight="1" thickBot="1">
      <c r="C22" s="101" t="s">
        <v>343</v>
      </c>
      <c r="D22" s="3">
        <v>2</v>
      </c>
      <c r="E22" s="32" t="s">
        <v>96</v>
      </c>
      <c r="F22" s="3">
        <v>1</v>
      </c>
      <c r="G22" s="32" t="s">
        <v>96</v>
      </c>
      <c r="H22" s="6"/>
    </row>
    <row r="23" spans="2:8" ht="13" thickBot="1">
      <c r="C23" s="101" t="s">
        <v>155</v>
      </c>
      <c r="D23" s="3"/>
      <c r="E23" s="32"/>
      <c r="F23" s="3"/>
      <c r="G23" s="32"/>
      <c r="H23" s="6"/>
    </row>
    <row r="24" spans="2:8" ht="13" thickBot="1">
      <c r="C24" s="101" t="s">
        <v>155</v>
      </c>
      <c r="D24" s="3"/>
      <c r="E24" s="32"/>
      <c r="F24" s="3"/>
      <c r="G24" s="32"/>
      <c r="H24" s="158"/>
    </row>
    <row r="25" spans="2:8" ht="13" thickBot="1">
      <c r="C25" s="101" t="s">
        <v>155</v>
      </c>
      <c r="D25" s="35"/>
      <c r="E25" s="32"/>
      <c r="F25" s="3"/>
      <c r="G25" s="32"/>
      <c r="H25" s="158"/>
    </row>
    <row r="26" spans="2:8" ht="13" thickBot="1">
      <c r="C26" s="101" t="s">
        <v>155</v>
      </c>
      <c r="D26" s="3"/>
      <c r="E26" s="32"/>
      <c r="F26" s="3"/>
      <c r="G26" s="32"/>
      <c r="H26" s="6"/>
    </row>
    <row r="27" spans="2:8" ht="30" customHeight="1" thickBot="1">
      <c r="C27" s="101" t="s">
        <v>155</v>
      </c>
      <c r="D27" s="169"/>
      <c r="E27" s="170"/>
      <c r="F27" s="169"/>
      <c r="G27" s="170"/>
      <c r="H27" s="171"/>
    </row>
    <row r="28" spans="2:8" ht="13" thickBot="1">
      <c r="C28" s="101" t="s">
        <v>155</v>
      </c>
      <c r="D28" s="3"/>
      <c r="E28" s="32"/>
      <c r="F28" s="3"/>
      <c r="G28" s="32"/>
      <c r="H28" s="6"/>
    </row>
    <row r="29" spans="2:8" ht="13.15" customHeight="1">
      <c r="C29" s="17" t="s">
        <v>15</v>
      </c>
      <c r="D29" s="320">
        <f>MIN(D22:D28)</f>
        <v>2</v>
      </c>
      <c r="E29" s="320"/>
      <c r="F29" s="320">
        <f>MIN(F22:F28)</f>
        <v>1</v>
      </c>
      <c r="G29" s="320"/>
      <c r="H29" s="159"/>
    </row>
    <row r="30" spans="2:8" ht="13.5" thickBot="1">
      <c r="C30" s="18" t="s">
        <v>16</v>
      </c>
      <c r="D30" s="384">
        <f>MAX(D22:D28)</f>
        <v>2</v>
      </c>
      <c r="E30" s="384"/>
      <c r="F30" s="384">
        <f>MAX(F22:F28)</f>
        <v>1</v>
      </c>
      <c r="G30" s="384"/>
      <c r="H30" s="158"/>
    </row>
    <row r="31" spans="2:8" ht="13.5" thickBot="1">
      <c r="C31" s="19" t="s">
        <v>71</v>
      </c>
      <c r="D31" s="350">
        <f>MEDIAN(D22:D28)</f>
        <v>2</v>
      </c>
      <c r="E31" s="350"/>
      <c r="F31" s="350">
        <f>MEDIAN(F22:F28)</f>
        <v>1</v>
      </c>
      <c r="G31" s="350"/>
      <c r="H31" s="161"/>
    </row>
    <row r="32" spans="2:8" ht="13.5" thickBot="1">
      <c r="C32" s="19" t="s">
        <v>18</v>
      </c>
      <c r="D32" s="350">
        <f>AVERAGEIF(E22:E28,"Y",D22:D28)</f>
        <v>2</v>
      </c>
      <c r="E32" s="350"/>
      <c r="F32" s="350">
        <f>AVERAGEIF(G22:G28,"Y",F22:F28)</f>
        <v>1</v>
      </c>
      <c r="G32" s="350"/>
      <c r="H32" s="161"/>
    </row>
    <row r="33" spans="3:8" ht="13.5" thickBot="1">
      <c r="C33" s="19" t="s">
        <v>17</v>
      </c>
      <c r="D33" s="348">
        <f>D32</f>
        <v>2</v>
      </c>
      <c r="E33" s="401"/>
      <c r="F33" s="348">
        <f>F32</f>
        <v>1</v>
      </c>
      <c r="G33" s="401"/>
      <c r="H33" s="167"/>
    </row>
    <row r="34" spans="3:8" ht="13">
      <c r="C34" s="1"/>
      <c r="D34" s="3"/>
      <c r="E34" s="3"/>
      <c r="F34" s="3"/>
      <c r="G34" s="3"/>
      <c r="H34" s="3"/>
    </row>
  </sheetData>
  <mergeCells count="24">
    <mergeCell ref="D11:H11"/>
    <mergeCell ref="C13:H13"/>
    <mergeCell ref="D14:H14"/>
    <mergeCell ref="D5:H5"/>
    <mergeCell ref="D6:H6"/>
    <mergeCell ref="D7:H7"/>
    <mergeCell ref="D8:H8"/>
    <mergeCell ref="C10:H10"/>
    <mergeCell ref="C1:H1"/>
    <mergeCell ref="D33:E33"/>
    <mergeCell ref="F33:G33"/>
    <mergeCell ref="D32:E32"/>
    <mergeCell ref="F32:G32"/>
    <mergeCell ref="D31:E31"/>
    <mergeCell ref="F31:G31"/>
    <mergeCell ref="C18:H18"/>
    <mergeCell ref="C20:H20"/>
    <mergeCell ref="D29:E29"/>
    <mergeCell ref="D30:E30"/>
    <mergeCell ref="F30:G30"/>
    <mergeCell ref="F29:G29"/>
    <mergeCell ref="D15:H15"/>
    <mergeCell ref="C2:H2"/>
    <mergeCell ref="D4:H4"/>
  </mergeCells>
  <conditionalFormatting sqref="E22:E28">
    <cfRule type="cellIs" dxfId="21" priority="21" operator="equal">
      <formula>"N"</formula>
    </cfRule>
    <cfRule type="cellIs" dxfId="20" priority="22" operator="equal">
      <formula>"Y"</formula>
    </cfRule>
  </conditionalFormatting>
  <conditionalFormatting sqref="G22:G28">
    <cfRule type="cellIs" dxfId="19" priority="19" operator="equal">
      <formula>"N"</formula>
    </cfRule>
    <cfRule type="cellIs" dxfId="18" priority="20" operator="equal">
      <formula>"Y"</formula>
    </cfRule>
  </conditionalFormatting>
  <dataValidations count="1">
    <dataValidation type="list" allowBlank="1" showInputMessage="1" showErrorMessage="1" sqref="E22:E28 G22:G28" xr:uid="{00000000-0002-0000-0E00-000000000000}">
      <formula1>$B$20:$B$21</formula1>
    </dataValidation>
  </dataValidation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14">
    <tabColor theme="2" tint="-0.499984740745262"/>
  </sheetPr>
  <dimension ref="A1:H32"/>
  <sheetViews>
    <sheetView showGridLines="0" zoomScale="88" zoomScaleNormal="88" workbookViewId="0">
      <selection activeCell="J18" sqref="J18"/>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16384" width="11.54296875" style="2"/>
  </cols>
  <sheetData>
    <row r="1" spans="1:8" ht="19.5" thickBot="1">
      <c r="C1" s="420" t="s">
        <v>75</v>
      </c>
      <c r="D1" s="421"/>
      <c r="E1" s="421"/>
      <c r="F1" s="421"/>
      <c r="G1" s="421"/>
      <c r="H1" s="421"/>
    </row>
    <row r="2" spans="1:8" ht="40.5" customHeight="1" thickBot="1">
      <c r="C2" s="277" t="str">
        <f>'1. Criteria'!C27</f>
        <v>Energy consumption per km</v>
      </c>
      <c r="D2" s="278"/>
      <c r="E2" s="278"/>
      <c r="F2" s="278"/>
      <c r="G2" s="278"/>
      <c r="H2" s="278"/>
    </row>
    <row r="3" spans="1:8" ht="13" thickBot="1">
      <c r="C3" s="3"/>
      <c r="D3" s="3"/>
      <c r="E3" s="3"/>
      <c r="F3" s="3"/>
      <c r="G3" s="3"/>
    </row>
    <row r="4" spans="1:8" ht="26.5" customHeight="1">
      <c r="C4" s="112" t="s">
        <v>131</v>
      </c>
      <c r="D4" s="370" t="s">
        <v>268</v>
      </c>
      <c r="E4" s="371"/>
      <c r="F4" s="371"/>
      <c r="G4" s="371"/>
      <c r="H4" s="372"/>
    </row>
    <row r="5" spans="1:8" ht="13">
      <c r="A5" s="2" t="s">
        <v>3</v>
      </c>
      <c r="C5" s="113" t="s">
        <v>1</v>
      </c>
      <c r="D5" s="337" t="s">
        <v>101</v>
      </c>
      <c r="E5" s="338"/>
      <c r="F5" s="338"/>
      <c r="G5" s="338"/>
      <c r="H5" s="339"/>
    </row>
    <row r="6" spans="1:8" ht="13">
      <c r="C6" s="113" t="s">
        <v>4</v>
      </c>
      <c r="D6" s="337" t="s">
        <v>138</v>
      </c>
      <c r="E6" s="338"/>
      <c r="F6" s="338"/>
      <c r="G6" s="338"/>
      <c r="H6" s="339"/>
    </row>
    <row r="7" spans="1:8" ht="13">
      <c r="C7" s="113" t="s">
        <v>2</v>
      </c>
      <c r="D7" s="337" t="s">
        <v>105</v>
      </c>
      <c r="E7" s="338"/>
      <c r="F7" s="338"/>
      <c r="G7" s="338"/>
      <c r="H7" s="339"/>
    </row>
    <row r="8" spans="1:8" ht="15" customHeight="1" thickBot="1">
      <c r="B8" s="21"/>
      <c r="C8" s="114" t="s">
        <v>5</v>
      </c>
      <c r="D8" s="330" t="s">
        <v>346</v>
      </c>
      <c r="E8" s="331"/>
      <c r="F8" s="331"/>
      <c r="G8" s="331"/>
      <c r="H8" s="332"/>
    </row>
    <row r="9" spans="1:8" ht="13.5" thickBot="1">
      <c r="C9" s="1"/>
      <c r="D9" s="1"/>
      <c r="E9" s="1"/>
      <c r="F9" s="1"/>
      <c r="G9" s="1"/>
    </row>
    <row r="10" spans="1:8" ht="19.899999999999999" customHeight="1" thickBot="1">
      <c r="C10" s="289" t="s">
        <v>6</v>
      </c>
      <c r="D10" s="288"/>
      <c r="E10" s="288"/>
      <c r="F10" s="288"/>
      <c r="G10" s="288"/>
      <c r="H10" s="333"/>
    </row>
    <row r="11" spans="1:8" ht="77.25" customHeight="1" thickBot="1">
      <c r="C11" s="122" t="s">
        <v>10</v>
      </c>
      <c r="D11" s="330" t="s">
        <v>269</v>
      </c>
      <c r="E11" s="331"/>
      <c r="F11" s="331"/>
      <c r="G11" s="331"/>
      <c r="H11" s="332"/>
    </row>
    <row r="12" spans="1:8" ht="13" thickBot="1"/>
    <row r="13" spans="1:8" ht="19.899999999999999" customHeight="1" thickBot="1">
      <c r="C13" s="287" t="s">
        <v>8</v>
      </c>
      <c r="D13" s="288"/>
      <c r="E13" s="288"/>
      <c r="F13" s="288"/>
      <c r="G13" s="288"/>
      <c r="H13" s="333"/>
    </row>
    <row r="14" spans="1:8" ht="127.5" customHeight="1">
      <c r="C14" s="116" t="s">
        <v>9</v>
      </c>
      <c r="D14" s="337" t="s">
        <v>345</v>
      </c>
      <c r="E14" s="338"/>
      <c r="F14" s="338"/>
      <c r="G14" s="338"/>
      <c r="H14" s="339"/>
    </row>
    <row r="15" spans="1:8" ht="28.5" customHeight="1" thickBot="1">
      <c r="C15" s="114" t="s">
        <v>153</v>
      </c>
      <c r="D15" s="403" t="s">
        <v>270</v>
      </c>
      <c r="E15" s="404"/>
      <c r="F15" s="404"/>
      <c r="G15" s="404"/>
      <c r="H15" s="405"/>
    </row>
    <row r="16" spans="1:8">
      <c r="C16" s="2" t="s">
        <v>7</v>
      </c>
    </row>
    <row r="17" spans="2:8" ht="13" thickBot="1"/>
    <row r="18" spans="2:8" ht="19.899999999999999" customHeight="1" thickBot="1">
      <c r="C18" s="289" t="s">
        <v>19</v>
      </c>
      <c r="D18" s="290"/>
      <c r="E18" s="290"/>
      <c r="F18" s="290"/>
      <c r="G18" s="290"/>
      <c r="H18" s="346"/>
    </row>
    <row r="19" spans="2:8" ht="13.5" thickBot="1">
      <c r="C19" s="5"/>
      <c r="D19" s="4"/>
      <c r="E19" s="4"/>
      <c r="F19" s="4"/>
      <c r="G19" s="4"/>
      <c r="H19" s="4"/>
    </row>
    <row r="20" spans="2:8" ht="16" thickBot="1">
      <c r="B20" s="2" t="s">
        <v>96</v>
      </c>
      <c r="C20" s="292" t="s">
        <v>20</v>
      </c>
      <c r="D20" s="293"/>
      <c r="E20" s="293"/>
      <c r="F20" s="293"/>
      <c r="G20" s="293"/>
      <c r="H20" s="329"/>
    </row>
    <row r="21" spans="2:8" ht="23" customHeight="1" thickBot="1">
      <c r="B21" s="2" t="s">
        <v>97</v>
      </c>
      <c r="C21" s="11" t="str">
        <f>$D$8</f>
        <v>kWh/100km</v>
      </c>
      <c r="D21" s="36" t="s">
        <v>251</v>
      </c>
      <c r="E21" s="36"/>
      <c r="F21" s="36" t="s">
        <v>250</v>
      </c>
      <c r="G21" s="36"/>
      <c r="H21" s="10" t="s">
        <v>84</v>
      </c>
    </row>
    <row r="22" spans="2:8" ht="13" thickBot="1">
      <c r="C22" s="101" t="s">
        <v>333</v>
      </c>
      <c r="D22" s="3">
        <v>4</v>
      </c>
      <c r="E22" s="32" t="s">
        <v>96</v>
      </c>
      <c r="F22" s="3"/>
      <c r="G22" s="32" t="s">
        <v>96</v>
      </c>
      <c r="H22" s="6"/>
    </row>
    <row r="23" spans="2:8" ht="100.5" thickBot="1">
      <c r="C23" s="101" t="s">
        <v>347</v>
      </c>
      <c r="D23" s="3"/>
      <c r="E23" s="32" t="s">
        <v>97</v>
      </c>
      <c r="F23" s="3">
        <v>13</v>
      </c>
      <c r="G23" s="32" t="s">
        <v>96</v>
      </c>
      <c r="H23" s="6"/>
    </row>
    <row r="24" spans="2:8" ht="13" thickBot="1">
      <c r="C24" s="101" t="s">
        <v>155</v>
      </c>
      <c r="D24" s="3"/>
      <c r="E24" s="32"/>
      <c r="F24" s="3"/>
      <c r="G24" s="32"/>
      <c r="H24" s="6"/>
    </row>
    <row r="25" spans="2:8" ht="13" thickBot="1">
      <c r="C25" s="101" t="s">
        <v>155</v>
      </c>
      <c r="D25" s="3"/>
      <c r="E25" s="32"/>
      <c r="F25" s="3"/>
      <c r="G25" s="32"/>
      <c r="H25" s="6"/>
    </row>
    <row r="26" spans="2:8" ht="13" thickBot="1">
      <c r="C26" s="101" t="s">
        <v>155</v>
      </c>
      <c r="D26" s="3"/>
      <c r="E26" s="32"/>
      <c r="F26" s="3"/>
      <c r="G26" s="32"/>
      <c r="H26" s="6"/>
    </row>
    <row r="27" spans="2:8" ht="13.15" customHeight="1">
      <c r="C27" s="17" t="s">
        <v>15</v>
      </c>
      <c r="D27" s="317">
        <f>MIN(D22:D26)</f>
        <v>4</v>
      </c>
      <c r="E27" s="317"/>
      <c r="F27" s="317">
        <f>MIN(F22:F26)</f>
        <v>13</v>
      </c>
      <c r="G27" s="317"/>
      <c r="H27" s="8"/>
    </row>
    <row r="28" spans="2:8" ht="13.5" thickBot="1">
      <c r="C28" s="18" t="s">
        <v>16</v>
      </c>
      <c r="D28" s="377">
        <f>MAX(D22:D26)</f>
        <v>4</v>
      </c>
      <c r="E28" s="377"/>
      <c r="F28" s="377">
        <f>MAX(F22:F26)</f>
        <v>13</v>
      </c>
      <c r="G28" s="377"/>
      <c r="H28" s="6"/>
    </row>
    <row r="29" spans="2:8" ht="13.5" thickBot="1">
      <c r="C29" s="19" t="s">
        <v>71</v>
      </c>
      <c r="D29" s="350">
        <f>MEDIAN(D22:D26)</f>
        <v>4</v>
      </c>
      <c r="E29" s="350"/>
      <c r="F29" s="350">
        <f>MEDIAN(F22:F26)</f>
        <v>13</v>
      </c>
      <c r="G29" s="350"/>
      <c r="H29" s="161"/>
    </row>
    <row r="30" spans="2:8" ht="13.5" thickBot="1">
      <c r="C30" s="19" t="s">
        <v>18</v>
      </c>
      <c r="D30" s="350">
        <f>AVERAGEIF(E22:E26,"Y",D22:D26)</f>
        <v>4</v>
      </c>
      <c r="E30" s="350"/>
      <c r="F30" s="350">
        <f>AVERAGEIF(G22:G26,"Y",F22:F26)</f>
        <v>13</v>
      </c>
      <c r="G30" s="350"/>
      <c r="H30" s="161"/>
    </row>
    <row r="31" spans="2:8" ht="13.5" thickBot="1">
      <c r="C31" s="19" t="s">
        <v>17</v>
      </c>
      <c r="D31" s="422">
        <f>D30</f>
        <v>4</v>
      </c>
      <c r="E31" s="422"/>
      <c r="F31" s="422">
        <f>F30</f>
        <v>13</v>
      </c>
      <c r="G31" s="422"/>
      <c r="H31" s="172"/>
    </row>
    <row r="32" spans="2:8" ht="13">
      <c r="C32" s="1"/>
      <c r="D32" s="3"/>
      <c r="E32" s="3"/>
      <c r="F32" s="3"/>
      <c r="G32" s="3"/>
      <c r="H32" s="3"/>
    </row>
  </sheetData>
  <mergeCells count="24">
    <mergeCell ref="D31:E31"/>
    <mergeCell ref="F31:G31"/>
    <mergeCell ref="D30:E30"/>
    <mergeCell ref="F30:G30"/>
    <mergeCell ref="D6:H6"/>
    <mergeCell ref="D7:H7"/>
    <mergeCell ref="D29:E29"/>
    <mergeCell ref="F29:G29"/>
    <mergeCell ref="D27:E27"/>
    <mergeCell ref="F27:G27"/>
    <mergeCell ref="C1:H1"/>
    <mergeCell ref="D28:E28"/>
    <mergeCell ref="F28:G28"/>
    <mergeCell ref="C20:H20"/>
    <mergeCell ref="C13:H13"/>
    <mergeCell ref="D14:H14"/>
    <mergeCell ref="D15:H15"/>
    <mergeCell ref="C18:H18"/>
    <mergeCell ref="D8:H8"/>
    <mergeCell ref="C10:H10"/>
    <mergeCell ref="D11:H11"/>
    <mergeCell ref="C2:H2"/>
    <mergeCell ref="D4:H4"/>
    <mergeCell ref="D5:H5"/>
  </mergeCells>
  <conditionalFormatting sqref="E22:E26 G22:G26">
    <cfRule type="cellIs" dxfId="17" priority="3" operator="equal">
      <formula>"N"</formula>
    </cfRule>
    <cfRule type="cellIs" dxfId="16" priority="4" operator="equal">
      <formula>"Y"</formula>
    </cfRule>
  </conditionalFormatting>
  <dataValidations count="1">
    <dataValidation type="list" allowBlank="1" showInputMessage="1" showErrorMessage="1" sqref="E22:E26 G22:G26" xr:uid="{00000000-0002-0000-0F00-000000000000}">
      <formula1>$B$20:$B$21</formula1>
    </dataValidation>
  </dataValidations>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15">
    <tabColor theme="2" tint="-0.499984740745262"/>
  </sheetPr>
  <dimension ref="A1:I30"/>
  <sheetViews>
    <sheetView showGridLines="0" zoomScale="88" zoomScaleNormal="88" workbookViewId="0">
      <selection activeCell="J10" sqref="J10"/>
    </sheetView>
  </sheetViews>
  <sheetFormatPr baseColWidth="10" defaultColWidth="11.54296875" defaultRowHeight="12.5"/>
  <cols>
    <col min="1" max="1" width="2.7265625" style="2" customWidth="1"/>
    <col min="2" max="3" width="2.7265625" style="2" hidden="1" customWidth="1"/>
    <col min="4" max="4" width="23.1796875" style="2" customWidth="1"/>
    <col min="5" max="5" width="11.54296875" style="2" customWidth="1"/>
    <col min="6" max="6" width="2.54296875" style="2" customWidth="1"/>
    <col min="7" max="7" width="11.54296875" style="2"/>
    <col min="8" max="8" width="2.54296875" style="2" customWidth="1"/>
    <col min="9" max="16384" width="11.54296875" style="2"/>
  </cols>
  <sheetData>
    <row r="1" spans="1:9" ht="19.5" thickBot="1">
      <c r="D1" s="420" t="s">
        <v>89</v>
      </c>
      <c r="E1" s="421"/>
      <c r="F1" s="421"/>
      <c r="G1" s="421"/>
      <c r="H1" s="421"/>
      <c r="I1" s="421"/>
    </row>
    <row r="2" spans="1:9" ht="24" customHeight="1" thickBot="1">
      <c r="D2" s="277" t="str">
        <f>'1. Criteria'!C28</f>
        <v>Power or acceleration performance</v>
      </c>
      <c r="E2" s="278"/>
      <c r="F2" s="278"/>
      <c r="G2" s="278"/>
      <c r="H2" s="278"/>
      <c r="I2" s="278"/>
    </row>
    <row r="3" spans="1:9" ht="13" thickBot="1">
      <c r="D3" s="3"/>
      <c r="E3" s="3"/>
      <c r="F3" s="3"/>
      <c r="G3" s="3"/>
      <c r="H3" s="3"/>
    </row>
    <row r="4" spans="1:9" ht="33" customHeight="1">
      <c r="C4" s="33"/>
      <c r="D4" s="112" t="s">
        <v>131</v>
      </c>
      <c r="E4" s="370" t="s">
        <v>272</v>
      </c>
      <c r="F4" s="371"/>
      <c r="G4" s="371"/>
      <c r="H4" s="371"/>
      <c r="I4" s="372"/>
    </row>
    <row r="5" spans="1:9" ht="13">
      <c r="A5" s="2" t="s">
        <v>3</v>
      </c>
      <c r="C5" s="33"/>
      <c r="D5" s="113" t="s">
        <v>1</v>
      </c>
      <c r="E5" s="337" t="s">
        <v>101</v>
      </c>
      <c r="F5" s="338"/>
      <c r="G5" s="338"/>
      <c r="H5" s="338"/>
      <c r="I5" s="339"/>
    </row>
    <row r="6" spans="1:9" ht="13">
      <c r="C6" s="33"/>
      <c r="D6" s="113" t="s">
        <v>4</v>
      </c>
      <c r="E6" s="337" t="s">
        <v>138</v>
      </c>
      <c r="F6" s="338"/>
      <c r="G6" s="338"/>
      <c r="H6" s="338"/>
      <c r="I6" s="339"/>
    </row>
    <row r="7" spans="1:9" ht="13">
      <c r="C7" s="33"/>
      <c r="D7" s="113" t="s">
        <v>2</v>
      </c>
      <c r="E7" s="337" t="s">
        <v>105</v>
      </c>
      <c r="F7" s="338"/>
      <c r="G7" s="338"/>
      <c r="H7" s="338"/>
      <c r="I7" s="339"/>
    </row>
    <row r="8" spans="1:9" ht="55.15" customHeight="1" thickBot="1">
      <c r="B8" s="21" t="s">
        <v>108</v>
      </c>
      <c r="C8" s="34"/>
      <c r="D8" s="114" t="s">
        <v>5</v>
      </c>
      <c r="E8" s="361" t="s">
        <v>86</v>
      </c>
      <c r="F8" s="362"/>
      <c r="G8" s="362"/>
      <c r="H8" s="362"/>
      <c r="I8" s="363"/>
    </row>
    <row r="9" spans="1:9" ht="13.5" thickBot="1">
      <c r="D9" s="1"/>
      <c r="E9" s="1"/>
      <c r="F9" s="1"/>
      <c r="G9" s="1"/>
      <c r="H9" s="1"/>
    </row>
    <row r="10" spans="1:9" ht="19.899999999999999" customHeight="1" thickBot="1">
      <c r="D10" s="289" t="s">
        <v>6</v>
      </c>
      <c r="E10" s="288"/>
      <c r="F10" s="288"/>
      <c r="G10" s="288"/>
      <c r="H10" s="288"/>
      <c r="I10" s="333"/>
    </row>
    <row r="11" spans="1:9" ht="77" customHeight="1" thickBot="1">
      <c r="D11" s="122" t="s">
        <v>10</v>
      </c>
      <c r="E11" s="353" t="s">
        <v>348</v>
      </c>
      <c r="F11" s="354"/>
      <c r="G11" s="354"/>
      <c r="H11" s="354"/>
      <c r="I11" s="355"/>
    </row>
    <row r="12" spans="1:9" ht="13" thickBot="1"/>
    <row r="13" spans="1:9" ht="19.899999999999999" customHeight="1">
      <c r="D13" s="287" t="s">
        <v>8</v>
      </c>
      <c r="E13" s="288"/>
      <c r="F13" s="288"/>
      <c r="G13" s="288"/>
      <c r="H13" s="288"/>
      <c r="I13" s="333"/>
    </row>
    <row r="14" spans="1:9" ht="64.5" customHeight="1" thickBot="1">
      <c r="D14" s="114" t="s">
        <v>153</v>
      </c>
      <c r="E14" s="403" t="s">
        <v>349</v>
      </c>
      <c r="F14" s="404"/>
      <c r="G14" s="404"/>
      <c r="H14" s="404"/>
      <c r="I14" s="405"/>
    </row>
    <row r="15" spans="1:9">
      <c r="D15" s="2" t="s">
        <v>7</v>
      </c>
    </row>
    <row r="16" spans="1:9" ht="13" thickBot="1"/>
    <row r="17" spans="2:9" ht="19.899999999999999" customHeight="1" thickBot="1">
      <c r="D17" s="289" t="s">
        <v>19</v>
      </c>
      <c r="E17" s="290"/>
      <c r="F17" s="290"/>
      <c r="G17" s="290"/>
      <c r="H17" s="290"/>
      <c r="I17" s="346"/>
    </row>
    <row r="18" spans="2:9" ht="13.5" thickBot="1">
      <c r="D18" s="5"/>
      <c r="E18" s="4"/>
      <c r="F18" s="4"/>
      <c r="G18" s="4"/>
      <c r="H18" s="4"/>
      <c r="I18" s="4"/>
    </row>
    <row r="19" spans="2:9" ht="16" customHeight="1" thickBot="1">
      <c r="B19" s="2" t="s">
        <v>96</v>
      </c>
      <c r="C19" s="292" t="s">
        <v>20</v>
      </c>
      <c r="D19" s="293"/>
      <c r="E19" s="293"/>
      <c r="F19" s="293"/>
      <c r="G19" s="293"/>
      <c r="H19" s="293"/>
      <c r="I19" s="329"/>
    </row>
    <row r="20" spans="2:9" ht="25" customHeight="1" thickBot="1">
      <c r="B20" s="2" t="s">
        <v>97</v>
      </c>
      <c r="C20" s="11" t="str">
        <f>$D$8</f>
        <v xml:space="preserve">  Measure</v>
      </c>
      <c r="D20" s="11" t="str">
        <f>$E$8</f>
        <v>%</v>
      </c>
      <c r="E20" s="36" t="s">
        <v>251</v>
      </c>
      <c r="F20" s="36"/>
      <c r="G20" s="36" t="s">
        <v>250</v>
      </c>
      <c r="H20" s="36"/>
      <c r="I20" s="10" t="s">
        <v>84</v>
      </c>
    </row>
    <row r="21" spans="2:9" ht="24" customHeight="1" thickBot="1">
      <c r="C21" s="101" t="s">
        <v>155</v>
      </c>
      <c r="D21" s="101" t="s">
        <v>350</v>
      </c>
      <c r="E21" s="3">
        <v>77</v>
      </c>
      <c r="F21" s="32" t="s">
        <v>96</v>
      </c>
      <c r="G21" s="3">
        <v>30</v>
      </c>
      <c r="H21" s="32" t="s">
        <v>96</v>
      </c>
      <c r="I21" s="6"/>
    </row>
    <row r="22" spans="2:9" ht="11.5" customHeight="1" thickBot="1">
      <c r="C22" s="101" t="s">
        <v>155</v>
      </c>
      <c r="D22" s="101" t="s">
        <v>155</v>
      </c>
      <c r="E22" s="3"/>
      <c r="F22" s="32" t="s">
        <v>97</v>
      </c>
      <c r="G22" s="3"/>
      <c r="H22" s="32" t="s">
        <v>97</v>
      </c>
      <c r="I22" s="6"/>
    </row>
    <row r="23" spans="2:9" ht="18" customHeight="1" thickBot="1">
      <c r="C23" s="101" t="s">
        <v>155</v>
      </c>
      <c r="D23" s="101" t="s">
        <v>155</v>
      </c>
      <c r="E23" s="3"/>
      <c r="F23" s="32"/>
      <c r="G23" s="3"/>
      <c r="H23" s="32"/>
      <c r="I23" s="6"/>
    </row>
    <row r="24" spans="2:9" ht="14.5" customHeight="1" thickBot="1">
      <c r="C24" s="101" t="s">
        <v>155</v>
      </c>
      <c r="D24" s="101" t="s">
        <v>155</v>
      </c>
      <c r="E24" s="3"/>
      <c r="F24" s="32"/>
      <c r="G24" s="3"/>
      <c r="H24" s="32"/>
      <c r="I24" s="6"/>
    </row>
    <row r="25" spans="2:9" ht="20.5" customHeight="1" thickBot="1">
      <c r="C25" s="101" t="s">
        <v>155</v>
      </c>
      <c r="D25" s="101" t="s">
        <v>155</v>
      </c>
      <c r="E25" s="3"/>
      <c r="F25" s="32"/>
      <c r="G25" s="3"/>
      <c r="H25" s="32"/>
      <c r="I25" s="6"/>
    </row>
    <row r="26" spans="2:9" ht="13.15" customHeight="1">
      <c r="C26" s="17" t="s">
        <v>15</v>
      </c>
      <c r="D26" s="17" t="s">
        <v>15</v>
      </c>
      <c r="E26" s="317">
        <f>MIN(E21:E25)</f>
        <v>77</v>
      </c>
      <c r="F26" s="317"/>
      <c r="G26" s="317">
        <f>MIN(G21:G25)</f>
        <v>30</v>
      </c>
      <c r="H26" s="317"/>
      <c r="I26" s="8"/>
    </row>
    <row r="27" spans="2:9" ht="14.15" customHeight="1" thickBot="1">
      <c r="C27" s="18" t="s">
        <v>16</v>
      </c>
      <c r="D27" s="18" t="s">
        <v>16</v>
      </c>
      <c r="E27" s="377">
        <f>MAX(E21:E25)</f>
        <v>77</v>
      </c>
      <c r="F27" s="377"/>
      <c r="G27" s="377">
        <f>MAX(G21:G25)</f>
        <v>30</v>
      </c>
      <c r="H27" s="377"/>
      <c r="I27" s="6"/>
    </row>
    <row r="28" spans="2:9" ht="16.5" customHeight="1" thickBot="1">
      <c r="C28" s="19" t="s">
        <v>71</v>
      </c>
      <c r="D28" s="19" t="s">
        <v>71</v>
      </c>
      <c r="E28" s="350">
        <f>MEDIAN(E21:E25)</f>
        <v>77</v>
      </c>
      <c r="F28" s="350"/>
      <c r="G28" s="350">
        <f>MEDIAN(G21:G25)</f>
        <v>30</v>
      </c>
      <c r="H28" s="350"/>
      <c r="I28" s="161"/>
    </row>
    <row r="29" spans="2:9" ht="17.149999999999999" customHeight="1" thickBot="1">
      <c r="C29" s="19" t="s">
        <v>18</v>
      </c>
      <c r="D29" s="19" t="s">
        <v>18</v>
      </c>
      <c r="E29" s="350">
        <f>AVERAGEIF(F21:F25,"Y",E21:E25)</f>
        <v>77</v>
      </c>
      <c r="F29" s="350"/>
      <c r="G29" s="350">
        <f>AVERAGEIF(H21:H25,"Y",G21:G25)</f>
        <v>30</v>
      </c>
      <c r="H29" s="350"/>
      <c r="I29" s="161"/>
    </row>
    <row r="30" spans="2:9" ht="17.149999999999999" customHeight="1" thickBot="1">
      <c r="C30" s="19" t="s">
        <v>17</v>
      </c>
      <c r="D30" s="19" t="s">
        <v>17</v>
      </c>
      <c r="E30" s="423">
        <f>E29/100</f>
        <v>0.77</v>
      </c>
      <c r="F30" s="423"/>
      <c r="G30" s="423">
        <f>G29/100</f>
        <v>0.3</v>
      </c>
      <c r="H30" s="423"/>
      <c r="I30" s="172"/>
    </row>
  </sheetData>
  <mergeCells count="23">
    <mergeCell ref="C19:I19"/>
    <mergeCell ref="E7:I7"/>
    <mergeCell ref="D10:I10"/>
    <mergeCell ref="E11:I11"/>
    <mergeCell ref="E14:I14"/>
    <mergeCell ref="D17:I17"/>
    <mergeCell ref="D13:I13"/>
    <mergeCell ref="E26:F26"/>
    <mergeCell ref="G26:H26"/>
    <mergeCell ref="D1:I1"/>
    <mergeCell ref="E30:F30"/>
    <mergeCell ref="G30:H30"/>
    <mergeCell ref="E29:F29"/>
    <mergeCell ref="G29:H29"/>
    <mergeCell ref="E28:F28"/>
    <mergeCell ref="G28:H28"/>
    <mergeCell ref="E27:F27"/>
    <mergeCell ref="G27:H27"/>
    <mergeCell ref="D2:I2"/>
    <mergeCell ref="E4:I4"/>
    <mergeCell ref="E5:I5"/>
    <mergeCell ref="E6:I6"/>
    <mergeCell ref="E8:I8"/>
  </mergeCells>
  <conditionalFormatting sqref="H21:H25 F21:F25">
    <cfRule type="cellIs" dxfId="15" priority="1" operator="equal">
      <formula>"N"</formula>
    </cfRule>
    <cfRule type="cellIs" dxfId="14" priority="2" operator="equal">
      <formula>"Y"</formula>
    </cfRule>
  </conditionalFormatting>
  <dataValidations count="1">
    <dataValidation type="list" allowBlank="1" showInputMessage="1" showErrorMessage="1" sqref="H21:H25 F21:F25" xr:uid="{00000000-0002-0000-1000-000000000000}">
      <formula1>$B$19:$B$20</formula1>
    </dataValidation>
  </dataValidations>
  <pageMargins left="0.7" right="0.7" top="0.75" bottom="0.75" header="0.3" footer="0.3"/>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16">
    <tabColor theme="2" tint="-0.499984740745262"/>
  </sheetPr>
  <dimension ref="A1:V37"/>
  <sheetViews>
    <sheetView showGridLines="0" zoomScale="88" zoomScaleNormal="88" workbookViewId="0">
      <selection activeCell="J8" sqref="J8"/>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11" width="11.54296875" style="2"/>
    <col min="12" max="12" width="19.453125" style="2" customWidth="1"/>
    <col min="13" max="16384" width="11.54296875" style="2"/>
  </cols>
  <sheetData>
    <row r="1" spans="1:22" ht="19.5" thickBot="1">
      <c r="C1" s="420" t="s">
        <v>83</v>
      </c>
      <c r="D1" s="421"/>
      <c r="E1" s="421"/>
      <c r="F1" s="421"/>
      <c r="G1" s="421"/>
      <c r="H1" s="421"/>
    </row>
    <row r="2" spans="1:22" ht="24" customHeight="1" thickBot="1">
      <c r="C2" s="277" t="str">
        <f>'1. Criteria'!C29</f>
        <v>Safety</v>
      </c>
      <c r="D2" s="278"/>
      <c r="E2" s="278"/>
      <c r="F2" s="278"/>
      <c r="G2" s="278"/>
      <c r="H2" s="278"/>
    </row>
    <row r="3" spans="1:22" ht="13" thickBot="1">
      <c r="C3" s="3"/>
      <c r="D3" s="3"/>
      <c r="E3" s="3"/>
      <c r="F3" s="3"/>
      <c r="G3" s="3"/>
    </row>
    <row r="4" spans="1:22" ht="31" customHeight="1" thickBot="1">
      <c r="C4" s="112" t="s">
        <v>131</v>
      </c>
      <c r="D4" s="424" t="s">
        <v>216</v>
      </c>
      <c r="E4" s="425"/>
      <c r="F4" s="425"/>
      <c r="G4" s="425"/>
      <c r="H4" s="426"/>
    </row>
    <row r="5" spans="1:22" ht="13">
      <c r="A5" s="2" t="s">
        <v>3</v>
      </c>
      <c r="C5" s="113" t="s">
        <v>1</v>
      </c>
      <c r="D5" s="337" t="s">
        <v>101</v>
      </c>
      <c r="E5" s="338"/>
      <c r="F5" s="338"/>
      <c r="G5" s="338"/>
      <c r="H5" s="339"/>
    </row>
    <row r="6" spans="1:22" ht="13">
      <c r="C6" s="113" t="s">
        <v>4</v>
      </c>
      <c r="D6" s="337" t="s">
        <v>85</v>
      </c>
      <c r="E6" s="338"/>
      <c r="F6" s="338"/>
      <c r="G6" s="338"/>
      <c r="H6" s="339"/>
    </row>
    <row r="7" spans="1:22" ht="13">
      <c r="C7" s="113" t="s">
        <v>2</v>
      </c>
      <c r="D7" s="337" t="s">
        <v>133</v>
      </c>
      <c r="E7" s="338"/>
      <c r="F7" s="338"/>
      <c r="G7" s="338"/>
      <c r="H7" s="339"/>
    </row>
    <row r="8" spans="1:22" ht="15" customHeight="1" thickBot="1">
      <c r="B8" s="21" t="s">
        <v>108</v>
      </c>
      <c r="C8" s="114" t="s">
        <v>5</v>
      </c>
      <c r="D8" s="330" t="s">
        <v>351</v>
      </c>
      <c r="E8" s="331"/>
      <c r="F8" s="331"/>
      <c r="G8" s="331"/>
      <c r="H8" s="332"/>
    </row>
    <row r="9" spans="1:22" ht="13.5" thickBot="1">
      <c r="C9" s="1"/>
      <c r="D9" s="1"/>
      <c r="E9" s="1"/>
      <c r="F9" s="1"/>
      <c r="G9" s="1"/>
    </row>
    <row r="10" spans="1:22" ht="19.899999999999999" customHeight="1" thickBot="1">
      <c r="C10" s="289" t="s">
        <v>6</v>
      </c>
      <c r="D10" s="288"/>
      <c r="E10" s="288"/>
      <c r="F10" s="288"/>
      <c r="G10" s="288"/>
      <c r="H10" s="333"/>
    </row>
    <row r="11" spans="1:22" ht="64.5" customHeight="1" thickBot="1">
      <c r="C11" s="122" t="s">
        <v>10</v>
      </c>
      <c r="D11" s="353" t="s">
        <v>198</v>
      </c>
      <c r="E11" s="354"/>
      <c r="F11" s="354"/>
      <c r="G11" s="354"/>
      <c r="H11" s="355"/>
    </row>
    <row r="12" spans="1:22" ht="13" thickBot="1"/>
    <row r="13" spans="1:22" ht="19.899999999999999" customHeight="1" thickBot="1">
      <c r="C13" s="287" t="s">
        <v>8</v>
      </c>
      <c r="D13" s="288"/>
      <c r="E13" s="288"/>
      <c r="F13" s="288"/>
      <c r="G13" s="288"/>
      <c r="H13" s="333"/>
    </row>
    <row r="14" spans="1:22" ht="76.5" customHeight="1">
      <c r="C14" s="116" t="s">
        <v>9</v>
      </c>
      <c r="D14" s="340" t="s">
        <v>207</v>
      </c>
      <c r="E14" s="341"/>
      <c r="F14" s="341"/>
      <c r="G14" s="341"/>
      <c r="H14" s="342"/>
      <c r="N14" s="124"/>
      <c r="O14" s="124"/>
      <c r="P14" s="124"/>
      <c r="Q14"/>
      <c r="R14"/>
      <c r="S14"/>
      <c r="T14"/>
      <c r="U14"/>
      <c r="V14"/>
    </row>
    <row r="15" spans="1:22" ht="34.5" customHeight="1" thickBot="1">
      <c r="C15" s="114" t="s">
        <v>153</v>
      </c>
      <c r="D15" s="403" t="s">
        <v>217</v>
      </c>
      <c r="E15" s="404"/>
      <c r="F15" s="404"/>
      <c r="G15" s="404"/>
      <c r="H15" s="405"/>
    </row>
    <row r="16" spans="1:22">
      <c r="C16" s="2" t="s">
        <v>7</v>
      </c>
    </row>
    <row r="17" spans="2:8" ht="13" thickBot="1"/>
    <row r="18" spans="2:8" ht="19.899999999999999" customHeight="1" thickBot="1">
      <c r="C18" s="289" t="s">
        <v>19</v>
      </c>
      <c r="D18" s="290"/>
      <c r="E18" s="290"/>
      <c r="F18" s="290"/>
      <c r="G18" s="290"/>
      <c r="H18" s="346"/>
    </row>
    <row r="19" spans="2:8" ht="13.5" thickBot="1">
      <c r="C19" s="5"/>
      <c r="D19" s="4"/>
      <c r="E19" s="4"/>
      <c r="F19" s="4"/>
      <c r="G19" s="4"/>
      <c r="H19" s="4"/>
    </row>
    <row r="20" spans="2:8" ht="16" thickBot="1">
      <c r="B20" s="2" t="s">
        <v>96</v>
      </c>
      <c r="C20" s="292" t="s">
        <v>20</v>
      </c>
      <c r="D20" s="293"/>
      <c r="E20" s="293"/>
      <c r="F20" s="293"/>
      <c r="G20" s="293"/>
      <c r="H20" s="329"/>
    </row>
    <row r="21" spans="2:8" ht="26" customHeight="1" thickBot="1">
      <c r="B21" s="2" t="s">
        <v>97</v>
      </c>
      <c r="C21" s="11" t="s">
        <v>353</v>
      </c>
      <c r="D21" s="36" t="s">
        <v>251</v>
      </c>
      <c r="E21" s="36"/>
      <c r="F21" s="36" t="s">
        <v>250</v>
      </c>
      <c r="G21" s="36"/>
      <c r="H21" s="10" t="s">
        <v>84</v>
      </c>
    </row>
    <row r="22" spans="2:8" ht="38" thickBot="1">
      <c r="C22" s="101" t="s">
        <v>352</v>
      </c>
      <c r="D22" s="3">
        <v>3</v>
      </c>
      <c r="E22" s="32" t="s">
        <v>96</v>
      </c>
      <c r="F22" s="3">
        <v>2</v>
      </c>
      <c r="G22" s="32" t="s">
        <v>96</v>
      </c>
      <c r="H22" s="6"/>
    </row>
    <row r="23" spans="2:8" ht="13" thickBot="1">
      <c r="C23" s="101" t="s">
        <v>155</v>
      </c>
      <c r="D23" s="35"/>
      <c r="E23" s="32" t="s">
        <v>96</v>
      </c>
      <c r="F23" s="3"/>
      <c r="G23" s="32" t="s">
        <v>96</v>
      </c>
      <c r="H23" s="6"/>
    </row>
    <row r="24" spans="2:8" ht="13" thickBot="1">
      <c r="C24" s="101" t="s">
        <v>155</v>
      </c>
      <c r="D24" s="35"/>
      <c r="E24" s="32"/>
      <c r="F24" s="3"/>
      <c r="G24" s="32" t="s">
        <v>96</v>
      </c>
      <c r="H24" s="6"/>
    </row>
    <row r="25" spans="2:8" ht="13" thickBot="1">
      <c r="C25" s="101" t="s">
        <v>155</v>
      </c>
      <c r="D25" s="35"/>
      <c r="E25" s="32"/>
      <c r="F25" s="3"/>
      <c r="G25" s="32"/>
      <c r="H25" s="6"/>
    </row>
    <row r="26" spans="2:8" ht="13" thickBot="1">
      <c r="C26" s="101" t="s">
        <v>155</v>
      </c>
      <c r="D26" s="35"/>
      <c r="E26" s="32"/>
      <c r="F26" s="3"/>
      <c r="G26" s="32"/>
      <c r="H26" s="6"/>
    </row>
    <row r="27" spans="2:8" ht="13" thickBot="1">
      <c r="C27" s="101" t="s">
        <v>155</v>
      </c>
      <c r="D27" s="35"/>
      <c r="E27" s="32"/>
      <c r="F27" s="3"/>
      <c r="G27" s="32"/>
      <c r="H27" s="6"/>
    </row>
    <row r="28" spans="2:8" ht="13" thickBot="1">
      <c r="C28" s="101" t="s">
        <v>155</v>
      </c>
      <c r="D28" s="35"/>
      <c r="E28" s="32"/>
      <c r="F28" s="3"/>
      <c r="G28" s="32"/>
      <c r="H28" s="6"/>
    </row>
    <row r="29" spans="2:8" ht="13" thickBot="1">
      <c r="C29" s="101" t="s">
        <v>155</v>
      </c>
      <c r="D29" s="35"/>
      <c r="E29" s="32"/>
      <c r="F29" s="3"/>
      <c r="G29" s="32"/>
      <c r="H29" s="6"/>
    </row>
    <row r="30" spans="2:8" ht="13" thickBot="1">
      <c r="C30" s="101" t="s">
        <v>155</v>
      </c>
      <c r="D30" s="35"/>
      <c r="E30" s="32"/>
      <c r="F30" s="3"/>
      <c r="G30" s="32"/>
      <c r="H30" s="6"/>
    </row>
    <row r="31" spans="2:8" ht="13" thickBot="1">
      <c r="C31" s="101" t="s">
        <v>155</v>
      </c>
      <c r="D31" s="35"/>
      <c r="E31" s="32"/>
      <c r="F31" s="3"/>
      <c r="G31" s="32"/>
      <c r="H31" s="6"/>
    </row>
    <row r="32" spans="2:8" ht="13.15" customHeight="1">
      <c r="C32" s="17" t="s">
        <v>15</v>
      </c>
      <c r="D32" s="317">
        <f>MIN(D22:D31)</f>
        <v>3</v>
      </c>
      <c r="E32" s="317"/>
      <c r="F32" s="317">
        <f>MIN(F22:F31)</f>
        <v>2</v>
      </c>
      <c r="G32" s="317"/>
      <c r="H32" s="8"/>
    </row>
    <row r="33" spans="3:8" ht="13.5" thickBot="1">
      <c r="C33" s="18" t="s">
        <v>16</v>
      </c>
      <c r="D33" s="377">
        <f>MAX(D22:D31)</f>
        <v>3</v>
      </c>
      <c r="E33" s="377"/>
      <c r="F33" s="377">
        <f>MAX(F22:F31)</f>
        <v>2</v>
      </c>
      <c r="G33" s="377"/>
      <c r="H33" s="6"/>
    </row>
    <row r="34" spans="3:8" ht="13.5" thickBot="1">
      <c r="C34" s="19" t="s">
        <v>71</v>
      </c>
      <c r="D34" s="350">
        <f>MEDIAN(D22:D31)</f>
        <v>3</v>
      </c>
      <c r="E34" s="350"/>
      <c r="F34" s="350">
        <f>MEDIAN(F22:F31)</f>
        <v>2</v>
      </c>
      <c r="G34" s="350"/>
      <c r="H34" s="161"/>
    </row>
    <row r="35" spans="3:8" ht="13.5" thickBot="1">
      <c r="C35" s="18" t="s">
        <v>18</v>
      </c>
      <c r="D35" s="350">
        <f>AVERAGEIF(E22:E31,"Y",D22:D31)</f>
        <v>3</v>
      </c>
      <c r="E35" s="350"/>
      <c r="F35" s="350">
        <f>AVERAGEIF(G22:G31,"Y",F22:F31)</f>
        <v>2</v>
      </c>
      <c r="G35" s="350"/>
      <c r="H35" s="161"/>
    </row>
    <row r="36" spans="3:8" ht="13.5" thickBot="1">
      <c r="C36" s="19" t="s">
        <v>17</v>
      </c>
      <c r="D36" s="401">
        <v>2</v>
      </c>
      <c r="E36" s="401"/>
      <c r="F36" s="401">
        <v>5</v>
      </c>
      <c r="G36" s="401"/>
      <c r="H36" s="167"/>
    </row>
    <row r="37" spans="3:8" ht="13">
      <c r="C37" s="1"/>
      <c r="D37" s="3"/>
      <c r="E37" s="3"/>
      <c r="F37" s="3"/>
      <c r="G37" s="3"/>
      <c r="H37" s="3"/>
    </row>
  </sheetData>
  <mergeCells count="24">
    <mergeCell ref="C1:H1"/>
    <mergeCell ref="D7:H7"/>
    <mergeCell ref="C20:H20"/>
    <mergeCell ref="D32:E32"/>
    <mergeCell ref="F32:G32"/>
    <mergeCell ref="C13:H13"/>
    <mergeCell ref="D14:H14"/>
    <mergeCell ref="D15:H15"/>
    <mergeCell ref="C18:H18"/>
    <mergeCell ref="D8:H8"/>
    <mergeCell ref="C10:H10"/>
    <mergeCell ref="D11:H11"/>
    <mergeCell ref="D5:H5"/>
    <mergeCell ref="D6:H6"/>
    <mergeCell ref="C2:H2"/>
    <mergeCell ref="D36:E36"/>
    <mergeCell ref="F36:G36"/>
    <mergeCell ref="D35:E35"/>
    <mergeCell ref="D4:H4"/>
    <mergeCell ref="D34:E34"/>
    <mergeCell ref="F34:G34"/>
    <mergeCell ref="D33:E33"/>
    <mergeCell ref="F33:G33"/>
    <mergeCell ref="F35:G35"/>
  </mergeCells>
  <conditionalFormatting sqref="E22:E31 G22:G31">
    <cfRule type="cellIs" dxfId="13" priority="17" operator="equal">
      <formula>"N"</formula>
    </cfRule>
    <cfRule type="cellIs" dxfId="12" priority="18" operator="equal">
      <formula>"Y"</formula>
    </cfRule>
  </conditionalFormatting>
  <dataValidations count="1">
    <dataValidation type="list" allowBlank="1" showInputMessage="1" showErrorMessage="1" sqref="E22:E31 G22:G31" xr:uid="{00000000-0002-0000-1100-000000000000}">
      <formula1>$B$20:$B$21</formula1>
    </dataValidation>
  </dataValidations>
  <pageMargins left="0.7" right="0.7" top="0.75" bottom="0.75" header="0.3" footer="0.3"/>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24">
    <tabColor theme="2" tint="-0.499984740745262"/>
  </sheetPr>
  <dimension ref="A1:H34"/>
  <sheetViews>
    <sheetView showGridLines="0" zoomScale="88" zoomScaleNormal="88" workbookViewId="0">
      <selection activeCell="I2" sqref="I2"/>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16384" width="11.54296875" style="2"/>
  </cols>
  <sheetData>
    <row r="1" spans="1:8" ht="19.5" thickBot="1">
      <c r="C1" s="427" t="s">
        <v>90</v>
      </c>
      <c r="D1" s="428"/>
      <c r="E1" s="428"/>
      <c r="F1" s="428"/>
      <c r="G1" s="428"/>
      <c r="H1" s="429"/>
    </row>
    <row r="2" spans="1:8" ht="51" customHeight="1" thickBot="1">
      <c r="C2" s="277" t="str">
        <f>'1. Criteria'!C30</f>
        <v>Reliability</v>
      </c>
      <c r="D2" s="278"/>
      <c r="E2" s="278"/>
      <c r="F2" s="278"/>
      <c r="G2" s="278"/>
      <c r="H2" s="402"/>
    </row>
    <row r="3" spans="1:8" ht="13" thickBot="1">
      <c r="C3" s="3"/>
      <c r="D3" s="3"/>
      <c r="E3" s="3"/>
      <c r="F3" s="3"/>
      <c r="G3" s="3"/>
    </row>
    <row r="4" spans="1:8" ht="70.5" customHeight="1">
      <c r="C4" s="112" t="s">
        <v>131</v>
      </c>
      <c r="D4" s="370" t="s">
        <v>274</v>
      </c>
      <c r="E4" s="371"/>
      <c r="F4" s="371"/>
      <c r="G4" s="371"/>
      <c r="H4" s="372"/>
    </row>
    <row r="5" spans="1:8" ht="13">
      <c r="A5" s="2" t="s">
        <v>3</v>
      </c>
      <c r="C5" s="113" t="s">
        <v>1</v>
      </c>
      <c r="D5" s="337" t="s">
        <v>101</v>
      </c>
      <c r="E5" s="338"/>
      <c r="F5" s="338"/>
      <c r="G5" s="338"/>
      <c r="H5" s="339"/>
    </row>
    <row r="6" spans="1:8" ht="13">
      <c r="C6" s="113" t="s">
        <v>4</v>
      </c>
      <c r="D6" s="337" t="s">
        <v>138</v>
      </c>
      <c r="E6" s="338"/>
      <c r="F6" s="338"/>
      <c r="G6" s="338"/>
      <c r="H6" s="339"/>
    </row>
    <row r="7" spans="1:8" ht="13">
      <c r="C7" s="113" t="s">
        <v>2</v>
      </c>
      <c r="D7" s="337" t="s">
        <v>133</v>
      </c>
      <c r="E7" s="338"/>
      <c r="F7" s="338"/>
      <c r="G7" s="338"/>
      <c r="H7" s="339"/>
    </row>
    <row r="8" spans="1:8" ht="15" customHeight="1" thickBot="1">
      <c r="B8" s="21" t="s">
        <v>108</v>
      </c>
      <c r="C8" s="114" t="s">
        <v>5</v>
      </c>
      <c r="D8" s="433" t="s">
        <v>275</v>
      </c>
      <c r="E8" s="434"/>
      <c r="F8" s="434"/>
      <c r="G8" s="434"/>
      <c r="H8" s="435"/>
    </row>
    <row r="9" spans="1:8" ht="13.5" thickBot="1">
      <c r="C9" s="1"/>
      <c r="D9" s="1"/>
      <c r="E9" s="1"/>
      <c r="F9" s="1"/>
      <c r="G9" s="1"/>
    </row>
    <row r="10" spans="1:8" ht="19.899999999999999" customHeight="1" thickBot="1">
      <c r="C10" s="289" t="s">
        <v>6</v>
      </c>
      <c r="D10" s="288"/>
      <c r="E10" s="288"/>
      <c r="F10" s="288"/>
      <c r="G10" s="288"/>
      <c r="H10" s="333"/>
    </row>
    <row r="11" spans="1:8" ht="75.5" customHeight="1" thickBot="1">
      <c r="C11" s="122" t="s">
        <v>10</v>
      </c>
      <c r="D11" s="353" t="s">
        <v>276</v>
      </c>
      <c r="E11" s="354"/>
      <c r="F11" s="354"/>
      <c r="G11" s="354"/>
      <c r="H11" s="355"/>
    </row>
    <row r="12" spans="1:8" ht="13" thickBot="1"/>
    <row r="13" spans="1:8" ht="19.899999999999999" customHeight="1" thickBot="1">
      <c r="C13" s="287" t="s">
        <v>8</v>
      </c>
      <c r="D13" s="288"/>
      <c r="E13" s="288"/>
      <c r="F13" s="288"/>
      <c r="G13" s="288"/>
      <c r="H13" s="333"/>
    </row>
    <row r="14" spans="1:8" ht="101.5" customHeight="1">
      <c r="C14" s="116" t="s">
        <v>9</v>
      </c>
      <c r="D14" s="340" t="s">
        <v>277</v>
      </c>
      <c r="E14" s="341"/>
      <c r="F14" s="341"/>
      <c r="G14" s="341"/>
      <c r="H14" s="342"/>
    </row>
    <row r="15" spans="1:8" ht="83.5" customHeight="1" thickBot="1">
      <c r="C15" s="114" t="s">
        <v>153</v>
      </c>
      <c r="D15" s="430" t="s">
        <v>278</v>
      </c>
      <c r="E15" s="431"/>
      <c r="F15" s="431"/>
      <c r="G15" s="431"/>
      <c r="H15" s="432"/>
    </row>
    <row r="16" spans="1:8">
      <c r="C16" s="2" t="s">
        <v>7</v>
      </c>
    </row>
    <row r="17" spans="2:8" ht="13" thickBot="1"/>
    <row r="18" spans="2:8" ht="19.899999999999999" customHeight="1" thickBot="1">
      <c r="C18" s="289" t="s">
        <v>19</v>
      </c>
      <c r="D18" s="290"/>
      <c r="E18" s="290"/>
      <c r="F18" s="290"/>
      <c r="G18" s="290"/>
      <c r="H18" s="346"/>
    </row>
    <row r="19" spans="2:8" ht="13.5" thickBot="1">
      <c r="C19" s="5"/>
      <c r="D19" s="4"/>
      <c r="E19" s="4"/>
      <c r="F19" s="4"/>
      <c r="G19" s="4"/>
      <c r="H19" s="4"/>
    </row>
    <row r="20" spans="2:8" ht="16" thickBot="1">
      <c r="B20" s="2" t="s">
        <v>96</v>
      </c>
      <c r="C20" s="292" t="s">
        <v>20</v>
      </c>
      <c r="D20" s="293"/>
      <c r="E20" s="293"/>
      <c r="F20" s="293"/>
      <c r="G20" s="293"/>
      <c r="H20" s="329"/>
    </row>
    <row r="21" spans="2:8" ht="25.5" customHeight="1" thickBot="1">
      <c r="B21" s="2" t="s">
        <v>97</v>
      </c>
      <c r="C21" s="11" t="str">
        <f>D8</f>
        <v>Scale 1 to 3 (1 = low to 3 = high)</v>
      </c>
      <c r="D21" s="36" t="s">
        <v>251</v>
      </c>
      <c r="E21" s="36"/>
      <c r="F21" s="36" t="s">
        <v>250</v>
      </c>
      <c r="G21" s="36"/>
      <c r="H21" s="10" t="s">
        <v>84</v>
      </c>
    </row>
    <row r="22" spans="2:8" ht="37.5">
      <c r="C22" s="102" t="s">
        <v>354</v>
      </c>
      <c r="D22" s="35">
        <v>3</v>
      </c>
      <c r="E22" s="32" t="s">
        <v>96</v>
      </c>
      <c r="F22" s="3">
        <v>1</v>
      </c>
      <c r="G22" s="32" t="s">
        <v>96</v>
      </c>
      <c r="H22" s="6"/>
    </row>
    <row r="23" spans="2:8">
      <c r="C23" s="102" t="s">
        <v>155</v>
      </c>
      <c r="D23" s="35"/>
      <c r="E23" s="32"/>
      <c r="F23" s="35"/>
      <c r="G23" s="32"/>
      <c r="H23" s="6"/>
    </row>
    <row r="24" spans="2:8">
      <c r="C24" s="102" t="s">
        <v>155</v>
      </c>
      <c r="D24" s="35"/>
      <c r="E24" s="32"/>
      <c r="F24" s="35"/>
      <c r="G24" s="32"/>
      <c r="H24" s="6"/>
    </row>
    <row r="25" spans="2:8" ht="13" thickBot="1">
      <c r="C25" s="102"/>
      <c r="D25" s="35"/>
      <c r="E25" s="32"/>
      <c r="F25" s="3"/>
      <c r="G25" s="32"/>
      <c r="H25" s="6"/>
    </row>
    <row r="26" spans="2:8" ht="13.15" customHeight="1">
      <c r="C26" s="17" t="s">
        <v>15</v>
      </c>
      <c r="D26" s="320">
        <f>MIN(D22:D25)</f>
        <v>3</v>
      </c>
      <c r="E26" s="317"/>
      <c r="F26" s="317">
        <f>MIN(F22:F25)</f>
        <v>1</v>
      </c>
      <c r="G26" s="317"/>
      <c r="H26" s="8"/>
    </row>
    <row r="27" spans="2:8" ht="13.5" thickBot="1">
      <c r="C27" s="18" t="s">
        <v>16</v>
      </c>
      <c r="D27" s="384">
        <f>MAX(D22:D25)</f>
        <v>3</v>
      </c>
      <c r="E27" s="377"/>
      <c r="F27" s="377">
        <f>MAX(F22:F22)</f>
        <v>1</v>
      </c>
      <c r="G27" s="377"/>
      <c r="H27" s="6"/>
    </row>
    <row r="28" spans="2:8" ht="13.5" thickBot="1">
      <c r="C28" s="19" t="s">
        <v>71</v>
      </c>
      <c r="D28" s="350">
        <f>MEDIAN(D22:D25)</f>
        <v>3</v>
      </c>
      <c r="E28" s="350"/>
      <c r="F28" s="350">
        <f>MEDIAN(F22:F25)</f>
        <v>1</v>
      </c>
      <c r="G28" s="350"/>
      <c r="H28" s="161"/>
    </row>
    <row r="29" spans="2:8" ht="13.5" thickBot="1">
      <c r="C29" s="18" t="s">
        <v>18</v>
      </c>
      <c r="D29" s="350">
        <f>AVERAGEIF(E22:E25,"Y",D22:D25)</f>
        <v>3</v>
      </c>
      <c r="E29" s="350"/>
      <c r="F29" s="350">
        <f>AVERAGEIF(G22:G25,"Y",F22:F25)</f>
        <v>1</v>
      </c>
      <c r="G29" s="350"/>
      <c r="H29" s="161"/>
    </row>
    <row r="30" spans="2:8" ht="13.5" thickBot="1">
      <c r="C30" s="19" t="s">
        <v>17</v>
      </c>
      <c r="D30" s="348">
        <f>D29</f>
        <v>3</v>
      </c>
      <c r="E30" s="348"/>
      <c r="F30" s="348">
        <f>F29</f>
        <v>1</v>
      </c>
      <c r="G30" s="348"/>
      <c r="H30" s="162"/>
    </row>
    <row r="31" spans="2:8" ht="13">
      <c r="C31" s="1"/>
      <c r="D31" s="3"/>
      <c r="E31" s="3"/>
      <c r="F31" s="3"/>
      <c r="G31" s="3"/>
      <c r="H31" s="3"/>
    </row>
    <row r="32" spans="2:8">
      <c r="C32" s="125"/>
    </row>
    <row r="33" spans="3:3">
      <c r="C33" s="125"/>
    </row>
    <row r="34" spans="3:3">
      <c r="C34" s="125"/>
    </row>
  </sheetData>
  <mergeCells count="24">
    <mergeCell ref="D6:H6"/>
    <mergeCell ref="D15:H15"/>
    <mergeCell ref="F26:G26"/>
    <mergeCell ref="D7:H7"/>
    <mergeCell ref="D8:H8"/>
    <mergeCell ref="C10:H10"/>
    <mergeCell ref="D11:H11"/>
    <mergeCell ref="C13:H13"/>
    <mergeCell ref="D28:E28"/>
    <mergeCell ref="F28:G28"/>
    <mergeCell ref="D27:E27"/>
    <mergeCell ref="C1:H1"/>
    <mergeCell ref="D30:E30"/>
    <mergeCell ref="F30:G30"/>
    <mergeCell ref="D29:E29"/>
    <mergeCell ref="F29:G29"/>
    <mergeCell ref="F27:G27"/>
    <mergeCell ref="D14:H14"/>
    <mergeCell ref="C18:H18"/>
    <mergeCell ref="C20:H20"/>
    <mergeCell ref="D26:E26"/>
    <mergeCell ref="C2:H2"/>
    <mergeCell ref="D4:H4"/>
    <mergeCell ref="D5:H5"/>
  </mergeCells>
  <conditionalFormatting sqref="E22:E25 G22:G25">
    <cfRule type="cellIs" dxfId="11" priority="5" operator="equal">
      <formula>"N"</formula>
    </cfRule>
    <cfRule type="cellIs" dxfId="10" priority="6" operator="equal">
      <formula>"Y"</formula>
    </cfRule>
  </conditionalFormatting>
  <dataValidations count="1">
    <dataValidation type="list" allowBlank="1" showInputMessage="1" showErrorMessage="1" sqref="E22:E25 G22:G25" xr:uid="{00000000-0002-0000-1200-000000000000}">
      <formula1>$B$20:$B$21</formula1>
    </dataValidation>
  </dataValidations>
  <pageMargins left="0.7" right="0.7" top="0.75" bottom="0.75" header="0.3" footer="0.3"/>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18">
    <tabColor theme="2" tint="-0.499984740745262"/>
  </sheetPr>
  <dimension ref="A1:H26"/>
  <sheetViews>
    <sheetView zoomScale="88" zoomScaleNormal="88" workbookViewId="0">
      <selection activeCell="L12" sqref="L12"/>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16384" width="11.54296875" style="2"/>
  </cols>
  <sheetData>
    <row r="1" spans="1:8" ht="19.5" thickBot="1">
      <c r="C1" s="420" t="s">
        <v>141</v>
      </c>
      <c r="D1" s="421"/>
      <c r="E1" s="421"/>
      <c r="F1" s="421"/>
      <c r="G1" s="421"/>
      <c r="H1" s="421"/>
    </row>
    <row r="2" spans="1:8" ht="24" customHeight="1" thickBot="1">
      <c r="C2" s="277" t="str">
        <f>'1. Criteria'!C31</f>
        <v>Flexibility</v>
      </c>
      <c r="D2" s="278"/>
      <c r="E2" s="278"/>
      <c r="F2" s="278"/>
      <c r="G2" s="278"/>
      <c r="H2" s="278"/>
    </row>
    <row r="3" spans="1:8" ht="13" thickBot="1">
      <c r="C3" s="3"/>
      <c r="D3" s="3"/>
      <c r="E3" s="3"/>
      <c r="F3" s="3"/>
      <c r="G3" s="3"/>
    </row>
    <row r="4" spans="1:8" ht="35.15" customHeight="1">
      <c r="C4" s="112" t="s">
        <v>131</v>
      </c>
      <c r="D4" s="439" t="s">
        <v>279</v>
      </c>
      <c r="E4" s="440"/>
      <c r="F4" s="440"/>
      <c r="G4" s="440"/>
      <c r="H4" s="441"/>
    </row>
    <row r="5" spans="1:8" ht="13">
      <c r="A5" s="2" t="s">
        <v>3</v>
      </c>
      <c r="C5" s="113" t="s">
        <v>1</v>
      </c>
      <c r="D5" s="337" t="s">
        <v>101</v>
      </c>
      <c r="E5" s="338"/>
      <c r="F5" s="338"/>
      <c r="G5" s="338"/>
      <c r="H5" s="339"/>
    </row>
    <row r="6" spans="1:8" ht="13">
      <c r="C6" s="113" t="s">
        <v>4</v>
      </c>
      <c r="D6" s="337" t="s">
        <v>138</v>
      </c>
      <c r="E6" s="338"/>
      <c r="F6" s="338"/>
      <c r="G6" s="338"/>
      <c r="H6" s="339"/>
    </row>
    <row r="7" spans="1:8" ht="13">
      <c r="C7" s="113" t="s">
        <v>2</v>
      </c>
      <c r="D7" s="337" t="s">
        <v>133</v>
      </c>
      <c r="E7" s="338"/>
      <c r="F7" s="338"/>
      <c r="G7" s="338"/>
      <c r="H7" s="339"/>
    </row>
    <row r="8" spans="1:8" ht="15" customHeight="1" thickBot="1">
      <c r="B8" s="21" t="s">
        <v>108</v>
      </c>
      <c r="C8" s="114" t="s">
        <v>5</v>
      </c>
      <c r="D8" s="417"/>
      <c r="E8" s="418"/>
      <c r="F8" s="418"/>
      <c r="G8" s="418"/>
      <c r="H8" s="419"/>
    </row>
    <row r="9" spans="1:8" ht="13.5" thickBot="1">
      <c r="C9" s="1"/>
      <c r="D9" s="1"/>
      <c r="E9" s="1"/>
      <c r="F9" s="1"/>
      <c r="G9" s="1"/>
    </row>
    <row r="10" spans="1:8" ht="19.899999999999999" customHeight="1" thickBot="1">
      <c r="C10" s="289" t="s">
        <v>6</v>
      </c>
      <c r="D10" s="288"/>
      <c r="E10" s="288"/>
      <c r="F10" s="288"/>
      <c r="G10" s="288"/>
      <c r="H10" s="333"/>
    </row>
    <row r="11" spans="1:8" ht="55" customHeight="1" thickBot="1">
      <c r="C11" s="122" t="s">
        <v>10</v>
      </c>
      <c r="D11" s="436"/>
      <c r="E11" s="437"/>
      <c r="F11" s="437"/>
      <c r="G11" s="437"/>
      <c r="H11" s="438"/>
    </row>
    <row r="12" spans="1:8" ht="13" thickBot="1"/>
    <row r="13" spans="1:8" ht="19.899999999999999" customHeight="1" thickBot="1">
      <c r="C13" s="287" t="s">
        <v>8</v>
      </c>
      <c r="D13" s="288"/>
      <c r="E13" s="288"/>
      <c r="F13" s="288"/>
      <c r="G13" s="288"/>
      <c r="H13" s="333"/>
    </row>
    <row r="14" spans="1:8" ht="54.65" customHeight="1" thickBot="1">
      <c r="C14" s="116" t="s">
        <v>9</v>
      </c>
      <c r="D14" s="442"/>
      <c r="E14" s="443"/>
      <c r="F14" s="443"/>
      <c r="G14" s="443"/>
      <c r="H14" s="444"/>
    </row>
    <row r="15" spans="1:8" ht="35.5" customHeight="1" thickBot="1">
      <c r="C15" s="114" t="s">
        <v>153</v>
      </c>
      <c r="D15" s="436"/>
      <c r="E15" s="437"/>
      <c r="F15" s="437"/>
      <c r="G15" s="437"/>
      <c r="H15" s="438"/>
    </row>
    <row r="16" spans="1:8">
      <c r="C16" s="2" t="s">
        <v>7</v>
      </c>
    </row>
    <row r="17" spans="2:8" ht="13" thickBot="1"/>
    <row r="18" spans="2:8" ht="16" thickBot="1">
      <c r="B18" s="2" t="s">
        <v>96</v>
      </c>
      <c r="C18" s="292" t="s">
        <v>20</v>
      </c>
      <c r="D18" s="293"/>
      <c r="E18" s="293"/>
      <c r="F18" s="293"/>
      <c r="G18" s="293"/>
      <c r="H18" s="329"/>
    </row>
    <row r="19" spans="2:8" ht="25.5" customHeight="1" thickBot="1">
      <c r="B19" s="2" t="s">
        <v>97</v>
      </c>
      <c r="C19" s="11" t="s">
        <v>135</v>
      </c>
      <c r="D19" s="36" t="s">
        <v>251</v>
      </c>
      <c r="E19" s="36"/>
      <c r="F19" s="36" t="s">
        <v>250</v>
      </c>
      <c r="G19" s="36"/>
      <c r="H19" s="10" t="s">
        <v>84</v>
      </c>
    </row>
    <row r="20" spans="2:8" ht="13" thickBot="1">
      <c r="C20" s="102"/>
      <c r="D20" s="35">
        <v>3</v>
      </c>
      <c r="E20" s="32" t="s">
        <v>96</v>
      </c>
      <c r="F20" s="3">
        <v>2</v>
      </c>
      <c r="G20" s="32" t="s">
        <v>96</v>
      </c>
      <c r="H20" s="6"/>
    </row>
    <row r="21" spans="2:8" ht="13.15" customHeight="1">
      <c r="C21" s="17" t="s">
        <v>15</v>
      </c>
      <c r="D21" s="317">
        <f>MIN(D20:D20)</f>
        <v>3</v>
      </c>
      <c r="E21" s="317"/>
      <c r="F21" s="317">
        <f>MIN(F20:F20)</f>
        <v>2</v>
      </c>
      <c r="G21" s="317"/>
      <c r="H21" s="8"/>
    </row>
    <row r="22" spans="2:8" ht="13.5" thickBot="1">
      <c r="C22" s="18" t="s">
        <v>16</v>
      </c>
      <c r="D22" s="377">
        <f>MAX(D20:D20)</f>
        <v>3</v>
      </c>
      <c r="E22" s="377"/>
      <c r="F22" s="377">
        <f>MAX(F20:F20)</f>
        <v>2</v>
      </c>
      <c r="G22" s="377"/>
      <c r="H22" s="6"/>
    </row>
    <row r="23" spans="2:8" ht="13.5" thickBot="1">
      <c r="C23" s="19" t="s">
        <v>71</v>
      </c>
      <c r="D23" s="350">
        <f>MEDIAN(D20:D20)</f>
        <v>3</v>
      </c>
      <c r="E23" s="350"/>
      <c r="F23" s="350">
        <f>MEDIAN(F20:F20)</f>
        <v>2</v>
      </c>
      <c r="G23" s="350"/>
      <c r="H23" s="161"/>
    </row>
    <row r="24" spans="2:8" ht="13.5" thickBot="1">
      <c r="C24" s="18" t="s">
        <v>18</v>
      </c>
      <c r="D24" s="350">
        <f>AVERAGEIF(E20:E20,"Y",D20:D20)</f>
        <v>3</v>
      </c>
      <c r="E24" s="350"/>
      <c r="F24" s="350">
        <f>AVERAGEIF(G20:G20,"Y",F20:F20)</f>
        <v>2</v>
      </c>
      <c r="G24" s="350"/>
      <c r="H24" s="161"/>
    </row>
    <row r="25" spans="2:8" ht="13.5" thickBot="1">
      <c r="C25" s="19" t="s">
        <v>17</v>
      </c>
      <c r="D25" s="348">
        <v>3</v>
      </c>
      <c r="E25" s="348"/>
      <c r="F25" s="348">
        <v>2</v>
      </c>
      <c r="G25" s="348"/>
      <c r="H25" s="162"/>
    </row>
    <row r="26" spans="2:8" ht="13">
      <c r="C26" s="1"/>
      <c r="D26" s="3"/>
      <c r="E26" s="3"/>
      <c r="F26" s="3"/>
      <c r="G26" s="3"/>
      <c r="H26" s="3"/>
    </row>
  </sheetData>
  <mergeCells count="23">
    <mergeCell ref="C1:H1"/>
    <mergeCell ref="C18:H18"/>
    <mergeCell ref="D21:E21"/>
    <mergeCell ref="F21:G21"/>
    <mergeCell ref="D15:H15"/>
    <mergeCell ref="C2:H2"/>
    <mergeCell ref="D4:H4"/>
    <mergeCell ref="D5:H5"/>
    <mergeCell ref="D6:H6"/>
    <mergeCell ref="D7:H7"/>
    <mergeCell ref="D8:H8"/>
    <mergeCell ref="C10:H10"/>
    <mergeCell ref="D11:H11"/>
    <mergeCell ref="C13:H13"/>
    <mergeCell ref="D14:H14"/>
    <mergeCell ref="D22:E22"/>
    <mergeCell ref="F22:G22"/>
    <mergeCell ref="D25:E25"/>
    <mergeCell ref="F25:G25"/>
    <mergeCell ref="D23:E23"/>
    <mergeCell ref="F23:G23"/>
    <mergeCell ref="D24:E24"/>
    <mergeCell ref="F24:G24"/>
  </mergeCells>
  <conditionalFormatting sqref="G20 E20">
    <cfRule type="cellIs" dxfId="9" priority="5" operator="equal">
      <formula>"N"</formula>
    </cfRule>
    <cfRule type="cellIs" dxfId="8" priority="6" operator="equal">
      <formula>"Y"</formula>
    </cfRule>
  </conditionalFormatting>
  <dataValidations count="1">
    <dataValidation type="list" allowBlank="1" showInputMessage="1" showErrorMessage="1" sqref="G20 E20" xr:uid="{00000000-0002-0000-1300-000000000000}">
      <formula1>$B$20:$B$21</formula1>
    </dataValidation>
  </dataValidation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Feuil23">
    <tabColor theme="5" tint="-0.249977111117893"/>
  </sheetPr>
  <dimension ref="A1:H29"/>
  <sheetViews>
    <sheetView showGridLines="0" zoomScale="88" zoomScaleNormal="88" workbookViewId="0">
      <selection activeCell="C21" sqref="C21"/>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5.7265625" style="2" customWidth="1"/>
    <col min="6" max="6" width="11.54296875" style="2"/>
    <col min="7" max="7" width="4.54296875" style="2" customWidth="1"/>
    <col min="8" max="16384" width="11.54296875" style="2"/>
  </cols>
  <sheetData>
    <row r="1" spans="1:8" ht="19.5" thickBot="1">
      <c r="C1" s="445" t="s">
        <v>171</v>
      </c>
      <c r="D1" s="446"/>
      <c r="E1" s="446"/>
      <c r="F1" s="446"/>
      <c r="G1" s="446"/>
      <c r="H1" s="446"/>
    </row>
    <row r="2" spans="1:8" ht="24" customHeight="1" thickBot="1">
      <c r="C2" s="277" t="str">
        <f>'1. Criteria'!C32</f>
        <v>Political support</v>
      </c>
      <c r="D2" s="278"/>
      <c r="E2" s="278"/>
      <c r="F2" s="278"/>
      <c r="G2" s="278"/>
      <c r="H2" s="278"/>
    </row>
    <row r="3" spans="1:8" ht="13" thickBot="1">
      <c r="C3" s="3"/>
      <c r="D3" s="3"/>
      <c r="E3" s="3"/>
      <c r="F3" s="3"/>
      <c r="G3" s="3"/>
    </row>
    <row r="4" spans="1:8" ht="25.5" customHeight="1">
      <c r="C4" s="112" t="s">
        <v>131</v>
      </c>
      <c r="D4" s="370" t="s">
        <v>231</v>
      </c>
      <c r="E4" s="371"/>
      <c r="F4" s="371"/>
      <c r="G4" s="371"/>
      <c r="H4" s="372"/>
    </row>
    <row r="5" spans="1:8" ht="13">
      <c r="A5" s="2" t="s">
        <v>3</v>
      </c>
      <c r="C5" s="113" t="s">
        <v>1</v>
      </c>
      <c r="D5" s="337" t="s">
        <v>199</v>
      </c>
      <c r="E5" s="338"/>
      <c r="F5" s="338"/>
      <c r="G5" s="338"/>
      <c r="H5" s="339"/>
    </row>
    <row r="6" spans="1:8" ht="13">
      <c r="C6" s="113" t="s">
        <v>4</v>
      </c>
      <c r="D6" s="337" t="s">
        <v>138</v>
      </c>
      <c r="E6" s="338"/>
      <c r="F6" s="338"/>
      <c r="G6" s="338"/>
      <c r="H6" s="339"/>
    </row>
    <row r="7" spans="1:8" ht="13">
      <c r="C7" s="113" t="s">
        <v>2</v>
      </c>
      <c r="D7" s="337" t="s">
        <v>133</v>
      </c>
      <c r="E7" s="338"/>
      <c r="F7" s="338"/>
      <c r="G7" s="338"/>
      <c r="H7" s="339"/>
    </row>
    <row r="8" spans="1:8" ht="25" customHeight="1" thickBot="1">
      <c r="B8" s="21" t="s">
        <v>108</v>
      </c>
      <c r="C8" s="114" t="s">
        <v>5</v>
      </c>
      <c r="D8" s="433" t="s">
        <v>357</v>
      </c>
      <c r="E8" s="434"/>
      <c r="F8" s="434"/>
      <c r="G8" s="434"/>
      <c r="H8" s="435"/>
    </row>
    <row r="9" spans="1:8" ht="13.5" thickBot="1">
      <c r="C9" s="1"/>
      <c r="D9" s="1"/>
      <c r="E9" s="1"/>
      <c r="F9" s="1"/>
      <c r="G9" s="1"/>
    </row>
    <row r="10" spans="1:8" ht="19.899999999999999" customHeight="1" thickBot="1">
      <c r="C10" s="289" t="s">
        <v>6</v>
      </c>
      <c r="D10" s="356"/>
      <c r="E10" s="356"/>
      <c r="F10" s="356"/>
      <c r="G10" s="356"/>
      <c r="H10" s="357"/>
    </row>
    <row r="11" spans="1:8" ht="53.5" customHeight="1" thickBot="1">
      <c r="C11" s="122" t="s">
        <v>10</v>
      </c>
      <c r="D11" s="353" t="s">
        <v>232</v>
      </c>
      <c r="E11" s="354"/>
      <c r="F11" s="354"/>
      <c r="G11" s="354"/>
      <c r="H11" s="355"/>
    </row>
    <row r="12" spans="1:8" ht="13" thickBot="1"/>
    <row r="13" spans="1:8" ht="19.899999999999999" customHeight="1" thickBot="1">
      <c r="C13" s="287" t="s">
        <v>8</v>
      </c>
      <c r="D13" s="288"/>
      <c r="E13" s="288"/>
      <c r="F13" s="288"/>
      <c r="G13" s="288"/>
      <c r="H13" s="333"/>
    </row>
    <row r="14" spans="1:8" ht="61" customHeight="1">
      <c r="C14" s="116" t="s">
        <v>9</v>
      </c>
      <c r="D14" s="340" t="s">
        <v>233</v>
      </c>
      <c r="E14" s="341"/>
      <c r="F14" s="341"/>
      <c r="G14" s="341"/>
      <c r="H14" s="342"/>
    </row>
    <row r="15" spans="1:8" ht="38.15" customHeight="1" thickBot="1">
      <c r="C15" s="114" t="s">
        <v>153</v>
      </c>
      <c r="D15" s="403" t="s">
        <v>234</v>
      </c>
      <c r="E15" s="404"/>
      <c r="F15" s="404"/>
      <c r="G15" s="404"/>
      <c r="H15" s="405"/>
    </row>
    <row r="16" spans="1:8">
      <c r="C16" s="2" t="s">
        <v>7</v>
      </c>
    </row>
    <row r="17" spans="2:8" ht="13" thickBot="1"/>
    <row r="18" spans="2:8" ht="19.899999999999999" customHeight="1" thickBot="1">
      <c r="C18" s="289" t="s">
        <v>19</v>
      </c>
      <c r="D18" s="290"/>
      <c r="E18" s="290"/>
      <c r="F18" s="290"/>
      <c r="G18" s="290"/>
      <c r="H18" s="346"/>
    </row>
    <row r="19" spans="2:8" ht="13.5" thickBot="1">
      <c r="C19" s="5"/>
      <c r="D19" s="4"/>
      <c r="E19" s="4"/>
      <c r="F19" s="4"/>
      <c r="G19" s="4"/>
      <c r="H19" s="4"/>
    </row>
    <row r="20" spans="2:8" ht="16" thickBot="1">
      <c r="B20" s="2" t="s">
        <v>96</v>
      </c>
      <c r="C20" s="292" t="s">
        <v>20</v>
      </c>
      <c r="D20" s="293"/>
      <c r="E20" s="293"/>
      <c r="F20" s="293"/>
      <c r="G20" s="293"/>
      <c r="H20" s="329"/>
    </row>
    <row r="21" spans="2:8" ht="26" customHeight="1" thickBot="1">
      <c r="B21" s="2" t="s">
        <v>97</v>
      </c>
      <c r="C21" s="11" t="s">
        <v>358</v>
      </c>
      <c r="D21" s="36" t="s">
        <v>251</v>
      </c>
      <c r="E21" s="36"/>
      <c r="F21" s="36" t="s">
        <v>250</v>
      </c>
      <c r="G21" s="36"/>
      <c r="H21" s="10" t="s">
        <v>84</v>
      </c>
    </row>
    <row r="22" spans="2:8" ht="37.5">
      <c r="C22" s="102" t="s">
        <v>355</v>
      </c>
      <c r="D22" s="35">
        <v>3</v>
      </c>
      <c r="E22" s="32" t="s">
        <v>96</v>
      </c>
      <c r="F22" s="3">
        <v>1</v>
      </c>
      <c r="G22" s="32" t="s">
        <v>96</v>
      </c>
      <c r="H22" s="6"/>
    </row>
    <row r="23" spans="2:8" ht="13" thickBot="1">
      <c r="C23" s="102" t="s">
        <v>155</v>
      </c>
      <c r="D23" s="35"/>
      <c r="E23" s="32"/>
      <c r="F23" s="3"/>
      <c r="G23" s="32"/>
      <c r="H23" s="6"/>
    </row>
    <row r="24" spans="2:8" ht="13.15" customHeight="1">
      <c r="C24" s="17" t="s">
        <v>15</v>
      </c>
      <c r="D24" s="320">
        <f>MIN(D22:D23)</f>
        <v>3</v>
      </c>
      <c r="E24" s="317"/>
      <c r="F24" s="320">
        <f>MIN(F22:F23)</f>
        <v>1</v>
      </c>
      <c r="G24" s="317"/>
      <c r="H24" s="159"/>
    </row>
    <row r="25" spans="2:8" ht="13.5" thickBot="1">
      <c r="C25" s="18" t="s">
        <v>16</v>
      </c>
      <c r="D25" s="384">
        <f>MAX(D22:D23)</f>
        <v>3</v>
      </c>
      <c r="E25" s="377"/>
      <c r="F25" s="384">
        <f>MAX(F22:F23)</f>
        <v>1</v>
      </c>
      <c r="G25" s="377"/>
      <c r="H25" s="158"/>
    </row>
    <row r="26" spans="2:8" ht="13.5" thickBot="1">
      <c r="C26" s="19" t="s">
        <v>71</v>
      </c>
      <c r="D26" s="350">
        <f>MEDIAN(D22:D23)</f>
        <v>3</v>
      </c>
      <c r="E26" s="350"/>
      <c r="F26" s="350">
        <f>MEDIAN(F22:F23)</f>
        <v>1</v>
      </c>
      <c r="G26" s="350"/>
      <c r="H26" s="161"/>
    </row>
    <row r="27" spans="2:8" ht="13.5" thickBot="1">
      <c r="C27" s="18" t="s">
        <v>18</v>
      </c>
      <c r="D27" s="350">
        <f>AVERAGEIF(E22:E23,"Y",D22:D23)</f>
        <v>3</v>
      </c>
      <c r="E27" s="350"/>
      <c r="F27" s="350">
        <f>AVERAGEIF(G22:G23,"Y",F22:F23)</f>
        <v>1</v>
      </c>
      <c r="G27" s="350"/>
      <c r="H27" s="161"/>
    </row>
    <row r="28" spans="2:8" ht="13.5" thickBot="1">
      <c r="C28" s="19" t="s">
        <v>17</v>
      </c>
      <c r="D28" s="348">
        <f>D27</f>
        <v>3</v>
      </c>
      <c r="E28" s="348"/>
      <c r="F28" s="348">
        <f>F27</f>
        <v>1</v>
      </c>
      <c r="G28" s="348"/>
      <c r="H28" s="162"/>
    </row>
    <row r="29" spans="2:8" ht="13">
      <c r="C29" s="1"/>
      <c r="D29" s="3"/>
      <c r="E29" s="3"/>
      <c r="F29" s="3"/>
      <c r="G29" s="3"/>
      <c r="H29" s="3"/>
    </row>
  </sheetData>
  <mergeCells count="24">
    <mergeCell ref="D6:H6"/>
    <mergeCell ref="D15:H15"/>
    <mergeCell ref="F24:G24"/>
    <mergeCell ref="D7:H7"/>
    <mergeCell ref="D8:H8"/>
    <mergeCell ref="C10:H10"/>
    <mergeCell ref="D11:H11"/>
    <mergeCell ref="C13:H13"/>
    <mergeCell ref="D26:E26"/>
    <mergeCell ref="F26:G26"/>
    <mergeCell ref="D25:E25"/>
    <mergeCell ref="C1:H1"/>
    <mergeCell ref="D28:E28"/>
    <mergeCell ref="F28:G28"/>
    <mergeCell ref="D27:E27"/>
    <mergeCell ref="F27:G27"/>
    <mergeCell ref="F25:G25"/>
    <mergeCell ref="D14:H14"/>
    <mergeCell ref="C18:H18"/>
    <mergeCell ref="C20:H20"/>
    <mergeCell ref="D24:E24"/>
    <mergeCell ref="C2:H2"/>
    <mergeCell ref="D4:H4"/>
    <mergeCell ref="D5:H5"/>
  </mergeCells>
  <conditionalFormatting sqref="G22:G23 E22:E23">
    <cfRule type="cellIs" dxfId="7" priority="7" operator="equal">
      <formula>"N"</formula>
    </cfRule>
    <cfRule type="cellIs" dxfId="6" priority="8" operator="equal">
      <formula>"Y"</formula>
    </cfRule>
  </conditionalFormatting>
  <dataValidations count="1">
    <dataValidation type="list" allowBlank="1" showInputMessage="1" showErrorMessage="1" sqref="G22:G23 E22:E23" xr:uid="{00000000-0002-0000-1400-000000000000}">
      <formula1>$B$20:$B$21</formula1>
    </dataValidation>
  </dataValidations>
  <pageMargins left="0.7" right="0.7" top="0.75" bottom="0.75" header="0.3" footer="0.3"/>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17">
    <tabColor theme="5" tint="-0.249977111117893"/>
  </sheetPr>
  <dimension ref="A1:H32"/>
  <sheetViews>
    <sheetView showGridLines="0" zoomScale="88" zoomScaleNormal="88" workbookViewId="0">
      <selection activeCell="J36" sqref="J36"/>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16384" width="11.54296875" style="2"/>
  </cols>
  <sheetData>
    <row r="1" spans="1:8" ht="19.5" thickBot="1">
      <c r="C1" s="445" t="s">
        <v>172</v>
      </c>
      <c r="D1" s="446"/>
      <c r="E1" s="446"/>
      <c r="F1" s="446"/>
      <c r="G1" s="446"/>
      <c r="H1" s="446"/>
    </row>
    <row r="2" spans="1:8" ht="24" customHeight="1" thickBot="1">
      <c r="C2" s="277" t="str">
        <f>'1. Criteria'!C33</f>
        <v>External supply risks</v>
      </c>
      <c r="D2" s="278"/>
      <c r="E2" s="278"/>
      <c r="F2" s="278"/>
      <c r="G2" s="278"/>
      <c r="H2" s="278"/>
    </row>
    <row r="3" spans="1:8" ht="13" thickBot="1">
      <c r="C3" s="3"/>
      <c r="D3" s="3"/>
      <c r="E3" s="3"/>
      <c r="F3" s="3"/>
      <c r="G3" s="3"/>
    </row>
    <row r="4" spans="1:8" ht="46" customHeight="1">
      <c r="C4" s="126" t="s">
        <v>131</v>
      </c>
      <c r="D4" s="370" t="s">
        <v>280</v>
      </c>
      <c r="E4" s="371"/>
      <c r="F4" s="371"/>
      <c r="G4" s="371"/>
      <c r="H4" s="372"/>
    </row>
    <row r="5" spans="1:8" ht="13">
      <c r="A5" s="2" t="s">
        <v>3</v>
      </c>
      <c r="C5" s="127" t="s">
        <v>1</v>
      </c>
      <c r="D5" s="337" t="s">
        <v>170</v>
      </c>
      <c r="E5" s="338"/>
      <c r="F5" s="338"/>
      <c r="G5" s="338"/>
      <c r="H5" s="339"/>
    </row>
    <row r="6" spans="1:8" ht="13">
      <c r="C6" s="127" t="s">
        <v>4</v>
      </c>
      <c r="D6" s="337" t="s">
        <v>132</v>
      </c>
      <c r="E6" s="338"/>
      <c r="F6" s="338"/>
      <c r="G6" s="338"/>
      <c r="H6" s="339"/>
    </row>
    <row r="7" spans="1:8" ht="13">
      <c r="C7" s="127" t="s">
        <v>2</v>
      </c>
      <c r="D7" s="337" t="s">
        <v>133</v>
      </c>
      <c r="E7" s="338"/>
      <c r="F7" s="338"/>
      <c r="G7" s="338"/>
      <c r="H7" s="339"/>
    </row>
    <row r="8" spans="1:8" ht="50.5" customHeight="1" thickBot="1">
      <c r="B8" s="21"/>
      <c r="C8" s="128" t="s">
        <v>5</v>
      </c>
      <c r="D8" s="450" t="s">
        <v>356</v>
      </c>
      <c r="E8" s="451"/>
      <c r="F8" s="451"/>
      <c r="G8" s="451"/>
      <c r="H8" s="452"/>
    </row>
    <row r="9" spans="1:8" ht="13.5" thickBot="1">
      <c r="C9" s="1"/>
      <c r="D9" s="1"/>
      <c r="E9" s="1"/>
      <c r="F9" s="1"/>
      <c r="G9" s="1"/>
    </row>
    <row r="10" spans="1:8" ht="19.899999999999999" customHeight="1" thickBot="1">
      <c r="C10" s="289" t="s">
        <v>6</v>
      </c>
      <c r="D10" s="288"/>
      <c r="E10" s="288"/>
      <c r="F10" s="288"/>
      <c r="G10" s="288"/>
      <c r="H10" s="333"/>
    </row>
    <row r="11" spans="1:8" ht="113" customHeight="1" thickBot="1">
      <c r="C11" s="122" t="s">
        <v>10</v>
      </c>
      <c r="D11" s="353" t="s">
        <v>281</v>
      </c>
      <c r="E11" s="354"/>
      <c r="F11" s="354"/>
      <c r="G11" s="354"/>
      <c r="H11" s="355"/>
    </row>
    <row r="12" spans="1:8" ht="13" thickBot="1"/>
    <row r="13" spans="1:8" ht="19.899999999999999" customHeight="1" thickBot="1">
      <c r="C13" s="287" t="s">
        <v>8</v>
      </c>
      <c r="D13" s="288"/>
      <c r="E13" s="288"/>
      <c r="F13" s="288"/>
      <c r="G13" s="288"/>
      <c r="H13" s="333"/>
    </row>
    <row r="14" spans="1:8" ht="89.25" customHeight="1">
      <c r="C14" s="116" t="s">
        <v>9</v>
      </c>
      <c r="D14" s="340" t="s">
        <v>282</v>
      </c>
      <c r="E14" s="341"/>
      <c r="F14" s="341"/>
      <c r="G14" s="341"/>
      <c r="H14" s="342"/>
    </row>
    <row r="15" spans="1:8" ht="52.5" customHeight="1" thickBot="1">
      <c r="C15" s="114" t="s">
        <v>153</v>
      </c>
      <c r="D15" s="403" t="s">
        <v>235</v>
      </c>
      <c r="E15" s="404"/>
      <c r="F15" s="404"/>
      <c r="G15" s="404"/>
      <c r="H15" s="405"/>
    </row>
    <row r="16" spans="1:8">
      <c r="C16" s="2" t="s">
        <v>7</v>
      </c>
    </row>
    <row r="17" spans="2:8" ht="13" thickBot="1"/>
    <row r="18" spans="2:8" ht="19.899999999999999" customHeight="1" thickBot="1">
      <c r="C18" s="289" t="s">
        <v>19</v>
      </c>
      <c r="D18" s="290"/>
      <c r="E18" s="290"/>
      <c r="F18" s="290"/>
      <c r="G18" s="290"/>
      <c r="H18" s="346"/>
    </row>
    <row r="19" spans="2:8" ht="13.5" thickBot="1">
      <c r="C19" s="5"/>
      <c r="D19" s="4"/>
      <c r="E19" s="4"/>
      <c r="F19" s="4"/>
      <c r="G19" s="4"/>
      <c r="H19" s="4"/>
    </row>
    <row r="20" spans="2:8" ht="16" thickBot="1">
      <c r="B20" s="2" t="s">
        <v>96</v>
      </c>
      <c r="C20" s="447" t="s">
        <v>20</v>
      </c>
      <c r="D20" s="448"/>
      <c r="E20" s="448"/>
      <c r="F20" s="448"/>
      <c r="G20" s="448"/>
      <c r="H20" s="449"/>
    </row>
    <row r="21" spans="2:8" ht="22" customHeight="1" thickBot="1">
      <c r="B21" s="2" t="s">
        <v>97</v>
      </c>
      <c r="C21" s="11" t="str">
        <f>D8</f>
        <v>scale 1 to 3 (1 = low risk, 3 = high risk)</v>
      </c>
      <c r="D21" s="36" t="s">
        <v>251</v>
      </c>
      <c r="E21" s="36"/>
      <c r="F21" s="36" t="s">
        <v>250</v>
      </c>
      <c r="G21" s="36"/>
      <c r="H21" s="10" t="s">
        <v>84</v>
      </c>
    </row>
    <row r="22" spans="2:8" ht="25.5" thickBot="1">
      <c r="C22" s="101" t="s">
        <v>338</v>
      </c>
      <c r="D22" s="3">
        <v>1</v>
      </c>
      <c r="E22" s="32" t="s">
        <v>96</v>
      </c>
      <c r="F22" s="3">
        <v>3</v>
      </c>
      <c r="G22" s="32" t="s">
        <v>96</v>
      </c>
      <c r="H22" s="6"/>
    </row>
    <row r="23" spans="2:8" ht="13.5" customHeight="1" thickBot="1">
      <c r="C23" s="101" t="s">
        <v>155</v>
      </c>
      <c r="D23" s="3"/>
      <c r="E23" s="32"/>
      <c r="F23" s="3"/>
      <c r="G23" s="32"/>
      <c r="H23" s="6"/>
    </row>
    <row r="24" spans="2:8" ht="13.5" customHeight="1" thickBot="1">
      <c r="C24" s="101" t="s">
        <v>155</v>
      </c>
      <c r="D24" s="3"/>
      <c r="E24" s="32"/>
      <c r="F24" s="3"/>
      <c r="G24" s="32"/>
      <c r="H24" s="6"/>
    </row>
    <row r="25" spans="2:8" ht="13.5" customHeight="1" thickBot="1">
      <c r="C25" s="101" t="s">
        <v>155</v>
      </c>
      <c r="D25" s="3"/>
      <c r="E25" s="32"/>
      <c r="F25" s="3"/>
      <c r="G25" s="32"/>
      <c r="H25" s="6"/>
    </row>
    <row r="26" spans="2:8" ht="13.5" customHeight="1" thickBot="1">
      <c r="C26" s="101" t="s">
        <v>155</v>
      </c>
      <c r="D26" s="3"/>
      <c r="E26" s="32"/>
      <c r="F26" s="3"/>
      <c r="G26" s="32"/>
      <c r="H26" s="6"/>
    </row>
    <row r="27" spans="2:8" ht="13.5" customHeight="1" thickBot="1">
      <c r="C27" s="101" t="s">
        <v>155</v>
      </c>
      <c r="D27" s="3"/>
      <c r="E27" s="32"/>
      <c r="F27" s="3"/>
      <c r="G27" s="32"/>
      <c r="H27" s="6"/>
    </row>
    <row r="28" spans="2:8" ht="13.15" customHeight="1">
      <c r="C28" s="17" t="s">
        <v>15</v>
      </c>
      <c r="D28" s="317">
        <f>MIN(D22:D27)</f>
        <v>1</v>
      </c>
      <c r="E28" s="317"/>
      <c r="F28" s="317">
        <f>MIN(F22:F27)</f>
        <v>3</v>
      </c>
      <c r="G28" s="317"/>
      <c r="H28" s="8"/>
    </row>
    <row r="29" spans="2:8" ht="13.5" thickBot="1">
      <c r="C29" s="18" t="s">
        <v>16</v>
      </c>
      <c r="D29" s="377">
        <f>MAX(D22:D27)</f>
        <v>1</v>
      </c>
      <c r="E29" s="377"/>
      <c r="F29" s="377">
        <f>MAX(F22:F27)</f>
        <v>3</v>
      </c>
      <c r="G29" s="377"/>
      <c r="H29" s="6"/>
    </row>
    <row r="30" spans="2:8" ht="13.5" thickBot="1">
      <c r="C30" s="19" t="s">
        <v>71</v>
      </c>
      <c r="D30" s="350">
        <f>MEDIAN(D22:D27)</f>
        <v>1</v>
      </c>
      <c r="E30" s="350"/>
      <c r="F30" s="350">
        <f>MEDIAN(F22:F27)</f>
        <v>3</v>
      </c>
      <c r="G30" s="350"/>
      <c r="H30" s="161"/>
    </row>
    <row r="31" spans="2:8" ht="13.5" thickBot="1">
      <c r="C31" s="18" t="s">
        <v>18</v>
      </c>
      <c r="D31" s="350">
        <f>AVERAGEIF(E22:E27,"Y",D22:D27)</f>
        <v>1</v>
      </c>
      <c r="E31" s="350"/>
      <c r="F31" s="350">
        <f>AVERAGEIF(G22:G27,"Y",F22:F27)</f>
        <v>3</v>
      </c>
      <c r="G31" s="350"/>
      <c r="H31" s="161"/>
    </row>
    <row r="32" spans="2:8" ht="13.5" thickBot="1">
      <c r="C32" s="19" t="s">
        <v>17</v>
      </c>
      <c r="D32" s="348">
        <f>D31</f>
        <v>1</v>
      </c>
      <c r="E32" s="348"/>
      <c r="F32" s="348">
        <f>F31</f>
        <v>3</v>
      </c>
      <c r="G32" s="348"/>
      <c r="H32" s="162"/>
    </row>
  </sheetData>
  <mergeCells count="24">
    <mergeCell ref="D5:H5"/>
    <mergeCell ref="D6:H6"/>
    <mergeCell ref="C18:H18"/>
    <mergeCell ref="D15:H15"/>
    <mergeCell ref="D7:H7"/>
    <mergeCell ref="C10:H10"/>
    <mergeCell ref="D11:H11"/>
    <mergeCell ref="D8:H8"/>
    <mergeCell ref="D32:E32"/>
    <mergeCell ref="F32:G32"/>
    <mergeCell ref="D30:E30"/>
    <mergeCell ref="F30:G30"/>
    <mergeCell ref="C1:H1"/>
    <mergeCell ref="D31:E31"/>
    <mergeCell ref="F31:G31"/>
    <mergeCell ref="D29:E29"/>
    <mergeCell ref="F29:G29"/>
    <mergeCell ref="D28:E28"/>
    <mergeCell ref="F28:G28"/>
    <mergeCell ref="C13:H13"/>
    <mergeCell ref="C20:H20"/>
    <mergeCell ref="D14:H14"/>
    <mergeCell ref="C2:H2"/>
    <mergeCell ref="D4:H4"/>
  </mergeCells>
  <conditionalFormatting sqref="E22:E27">
    <cfRule type="cellIs" dxfId="5" priority="31" operator="equal">
      <formula>"N"</formula>
    </cfRule>
    <cfRule type="cellIs" dxfId="4" priority="32" operator="equal">
      <formula>"Y"</formula>
    </cfRule>
  </conditionalFormatting>
  <conditionalFormatting sqref="G22:G27">
    <cfRule type="cellIs" dxfId="3" priority="13" operator="equal">
      <formula>"N"</formula>
    </cfRule>
    <cfRule type="cellIs" dxfId="2" priority="14" operator="equal">
      <formula>"Y"</formula>
    </cfRule>
  </conditionalFormatting>
  <dataValidations count="1">
    <dataValidation type="list" allowBlank="1" showInputMessage="1" showErrorMessage="1" sqref="G22:G27 E22:E27" xr:uid="{00000000-0002-0000-1500-000000000000}">
      <formula1>$B$20:$B$21</formula1>
    </dataValidation>
  </dataValidation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Feuil28">
    <tabColor theme="5" tint="-0.249977111117893"/>
  </sheetPr>
  <dimension ref="A1:I29"/>
  <sheetViews>
    <sheetView showGridLines="0" zoomScale="88" zoomScaleNormal="88" workbookViewId="0">
      <selection activeCell="K14" sqref="K14"/>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5.7265625" style="2" customWidth="1"/>
    <col min="6" max="6" width="11.54296875" style="2"/>
    <col min="7" max="7" width="4.54296875" style="2" customWidth="1"/>
    <col min="8" max="8" width="34.08984375" style="2" customWidth="1"/>
    <col min="9" max="16384" width="11.54296875" style="2"/>
  </cols>
  <sheetData>
    <row r="1" spans="1:9" ht="19.5" thickBot="1">
      <c r="C1" s="445" t="s">
        <v>173</v>
      </c>
      <c r="D1" s="446"/>
      <c r="E1" s="446"/>
      <c r="F1" s="446"/>
      <c r="G1" s="446"/>
      <c r="H1" s="446"/>
    </row>
    <row r="2" spans="1:9" ht="24" customHeight="1" thickBot="1">
      <c r="C2" s="277" t="str">
        <f>'1. Criteria'!C34</f>
        <v>Resource supply risks</v>
      </c>
      <c r="D2" s="278"/>
      <c r="E2" s="278"/>
      <c r="F2" s="278"/>
      <c r="G2" s="278"/>
      <c r="H2" s="278"/>
    </row>
    <row r="3" spans="1:9" ht="13" thickBot="1">
      <c r="C3" s="3"/>
      <c r="D3" s="3"/>
      <c r="E3" s="3"/>
      <c r="F3" s="3"/>
      <c r="G3" s="3"/>
    </row>
    <row r="4" spans="1:9" ht="25.5" customHeight="1">
      <c r="C4" s="112" t="s">
        <v>131</v>
      </c>
      <c r="D4" s="370" t="s">
        <v>200</v>
      </c>
      <c r="E4" s="371"/>
      <c r="F4" s="371"/>
      <c r="G4" s="371"/>
      <c r="H4" s="372"/>
    </row>
    <row r="5" spans="1:9" ht="13">
      <c r="A5" s="2" t="s">
        <v>3</v>
      </c>
      <c r="C5" s="113" t="s">
        <v>1</v>
      </c>
      <c r="D5" s="337" t="s">
        <v>170</v>
      </c>
      <c r="E5" s="338"/>
      <c r="F5" s="338"/>
      <c r="G5" s="338"/>
      <c r="H5" s="339"/>
    </row>
    <row r="6" spans="1:9" ht="13">
      <c r="C6" s="113" t="s">
        <v>4</v>
      </c>
      <c r="D6" s="337" t="s">
        <v>132</v>
      </c>
      <c r="E6" s="338"/>
      <c r="F6" s="338"/>
      <c r="G6" s="338"/>
      <c r="H6" s="339"/>
    </row>
    <row r="7" spans="1:9" ht="13">
      <c r="C7" s="113" t="s">
        <v>2</v>
      </c>
      <c r="D7" s="337" t="s">
        <v>133</v>
      </c>
      <c r="E7" s="338"/>
      <c r="F7" s="338"/>
      <c r="G7" s="338"/>
      <c r="H7" s="339"/>
    </row>
    <row r="8" spans="1:9" ht="67.5" customHeight="1" thickBot="1">
      <c r="B8" s="21" t="s">
        <v>108</v>
      </c>
      <c r="C8" s="114" t="s">
        <v>5</v>
      </c>
      <c r="D8" s="361" t="s">
        <v>359</v>
      </c>
      <c r="E8" s="362"/>
      <c r="F8" s="362"/>
      <c r="G8" s="362"/>
      <c r="H8" s="238" t="s">
        <v>360</v>
      </c>
      <c r="I8" s="239"/>
    </row>
    <row r="9" spans="1:9" ht="13.5" thickBot="1">
      <c r="C9" s="1"/>
      <c r="D9" s="1"/>
      <c r="E9" s="1"/>
      <c r="F9" s="1"/>
      <c r="G9" s="1"/>
    </row>
    <row r="10" spans="1:9" ht="19.899999999999999" customHeight="1" thickBot="1">
      <c r="C10" s="289" t="s">
        <v>6</v>
      </c>
      <c r="D10" s="288"/>
      <c r="E10" s="288"/>
      <c r="F10" s="288"/>
      <c r="G10" s="288"/>
      <c r="H10" s="333"/>
    </row>
    <row r="11" spans="1:9" ht="64.5" customHeight="1" thickBot="1">
      <c r="C11" s="122" t="s">
        <v>10</v>
      </c>
      <c r="D11" s="353" t="s">
        <v>236</v>
      </c>
      <c r="E11" s="354"/>
      <c r="F11" s="354"/>
      <c r="G11" s="354"/>
      <c r="H11" s="355"/>
    </row>
    <row r="12" spans="1:9" ht="13" thickBot="1"/>
    <row r="13" spans="1:9" ht="19.899999999999999" customHeight="1" thickBot="1">
      <c r="C13" s="287" t="s">
        <v>8</v>
      </c>
      <c r="D13" s="288"/>
      <c r="E13" s="288"/>
      <c r="F13" s="288"/>
      <c r="G13" s="288"/>
      <c r="H13" s="333"/>
    </row>
    <row r="14" spans="1:9" ht="135.5" customHeight="1">
      <c r="C14" s="116" t="s">
        <v>9</v>
      </c>
      <c r="D14" s="340" t="s">
        <v>201</v>
      </c>
      <c r="E14" s="341"/>
      <c r="F14" s="341"/>
      <c r="G14" s="341"/>
      <c r="H14" s="342"/>
    </row>
    <row r="15" spans="1:9" ht="44.15" customHeight="1" thickBot="1">
      <c r="C15" s="114" t="s">
        <v>153</v>
      </c>
      <c r="D15" s="403" t="s">
        <v>241</v>
      </c>
      <c r="E15" s="404"/>
      <c r="F15" s="404"/>
      <c r="G15" s="404"/>
      <c r="H15" s="405"/>
    </row>
    <row r="16" spans="1:9">
      <c r="C16" s="2" t="s">
        <v>7</v>
      </c>
    </row>
    <row r="17" spans="2:8" ht="13" thickBot="1"/>
    <row r="18" spans="2:8" ht="19.899999999999999" customHeight="1" thickBot="1">
      <c r="C18" s="289" t="s">
        <v>19</v>
      </c>
      <c r="D18" s="290"/>
      <c r="E18" s="290"/>
      <c r="F18" s="290"/>
      <c r="G18" s="290"/>
      <c r="H18" s="346"/>
    </row>
    <row r="19" spans="2:8" ht="13.5" thickBot="1">
      <c r="C19" s="5"/>
      <c r="D19" s="4"/>
      <c r="E19" s="4"/>
      <c r="F19" s="4"/>
      <c r="G19" s="4"/>
      <c r="H19" s="4"/>
    </row>
    <row r="20" spans="2:8" ht="16" thickBot="1">
      <c r="B20" s="2" t="s">
        <v>96</v>
      </c>
      <c r="C20" s="292" t="s">
        <v>20</v>
      </c>
      <c r="D20" s="293"/>
      <c r="E20" s="293"/>
      <c r="F20" s="293"/>
      <c r="G20" s="293"/>
      <c r="H20" s="329"/>
    </row>
    <row r="21" spans="2:8" ht="20.5" customHeight="1" thickBot="1">
      <c r="B21" s="2" t="s">
        <v>97</v>
      </c>
      <c r="C21" s="11" t="str">
        <f>$D$8</f>
        <v>Scale 1 to 5 (1 = low risk, 5 = high risk)</v>
      </c>
      <c r="D21" s="36" t="s">
        <v>251</v>
      </c>
      <c r="E21" s="36"/>
      <c r="F21" s="36" t="s">
        <v>250</v>
      </c>
      <c r="G21" s="36"/>
      <c r="H21" s="10" t="s">
        <v>84</v>
      </c>
    </row>
    <row r="22" spans="2:8" ht="25">
      <c r="C22" s="102" t="s">
        <v>338</v>
      </c>
      <c r="D22" s="35">
        <v>2</v>
      </c>
      <c r="E22" s="32" t="s">
        <v>96</v>
      </c>
      <c r="F22" s="3">
        <v>4</v>
      </c>
      <c r="G22" s="32" t="s">
        <v>96</v>
      </c>
      <c r="H22" s="6"/>
    </row>
    <row r="23" spans="2:8" ht="13" thickBot="1">
      <c r="C23" s="102" t="s">
        <v>155</v>
      </c>
      <c r="D23" s="35"/>
      <c r="E23" s="32"/>
      <c r="F23" s="3"/>
      <c r="G23" s="32"/>
      <c r="H23" s="6"/>
    </row>
    <row r="24" spans="2:8" ht="13.15" customHeight="1">
      <c r="C24" s="17" t="s">
        <v>15</v>
      </c>
      <c r="D24" s="320">
        <f>MIN(D22:D23)</f>
        <v>2</v>
      </c>
      <c r="E24" s="317"/>
      <c r="F24" s="320">
        <f>MIN(F22:F23)</f>
        <v>4</v>
      </c>
      <c r="G24" s="317"/>
      <c r="H24" s="159"/>
    </row>
    <row r="25" spans="2:8" ht="13.5" thickBot="1">
      <c r="C25" s="18" t="s">
        <v>16</v>
      </c>
      <c r="D25" s="384">
        <f>MAX(D22:D23)</f>
        <v>2</v>
      </c>
      <c r="E25" s="377"/>
      <c r="F25" s="384">
        <f>MAX(F22:F23)</f>
        <v>4</v>
      </c>
      <c r="G25" s="377"/>
      <c r="H25" s="158"/>
    </row>
    <row r="26" spans="2:8" ht="13.5" thickBot="1">
      <c r="C26" s="19" t="s">
        <v>71</v>
      </c>
      <c r="D26" s="350">
        <f>MEDIAN(D22:D23)</f>
        <v>2</v>
      </c>
      <c r="E26" s="350"/>
      <c r="F26" s="350">
        <f>MEDIAN(F22:F23)</f>
        <v>4</v>
      </c>
      <c r="G26" s="350"/>
      <c r="H26" s="161"/>
    </row>
    <row r="27" spans="2:8" ht="13.5" thickBot="1">
      <c r="C27" s="18" t="s">
        <v>18</v>
      </c>
      <c r="D27" s="350">
        <f>AVERAGEIF(E22:E23,"Y",D22:D23)</f>
        <v>2</v>
      </c>
      <c r="E27" s="350"/>
      <c r="F27" s="350">
        <f>AVERAGEIF(G22:G23,"Y",F22:F23)</f>
        <v>4</v>
      </c>
      <c r="G27" s="350"/>
      <c r="H27" s="161"/>
    </row>
    <row r="28" spans="2:8" ht="13.5" thickBot="1">
      <c r="C28" s="19" t="s">
        <v>17</v>
      </c>
      <c r="D28" s="348">
        <f>D27</f>
        <v>2</v>
      </c>
      <c r="E28" s="348"/>
      <c r="F28" s="348">
        <f>F27</f>
        <v>4</v>
      </c>
      <c r="G28" s="348"/>
      <c r="H28" s="162"/>
    </row>
    <row r="29" spans="2:8" ht="13">
      <c r="C29" s="1"/>
      <c r="D29" s="3"/>
      <c r="E29" s="3"/>
      <c r="F29" s="3"/>
      <c r="G29" s="3"/>
      <c r="H29" s="3"/>
    </row>
  </sheetData>
  <mergeCells count="24">
    <mergeCell ref="C18:H18"/>
    <mergeCell ref="C20:H20"/>
    <mergeCell ref="D24:E24"/>
    <mergeCell ref="F24:G24"/>
    <mergeCell ref="C1:H1"/>
    <mergeCell ref="D15:H15"/>
    <mergeCell ref="C2:H2"/>
    <mergeCell ref="D4:H4"/>
    <mergeCell ref="D5:H5"/>
    <mergeCell ref="D6:H6"/>
    <mergeCell ref="D7:H7"/>
    <mergeCell ref="C10:H10"/>
    <mergeCell ref="D11:H11"/>
    <mergeCell ref="C13:H13"/>
    <mergeCell ref="D14:H14"/>
    <mergeCell ref="D8:G8"/>
    <mergeCell ref="D25:E25"/>
    <mergeCell ref="F25:G25"/>
    <mergeCell ref="D28:E28"/>
    <mergeCell ref="F28:G28"/>
    <mergeCell ref="D26:E26"/>
    <mergeCell ref="F26:G26"/>
    <mergeCell ref="D27:E27"/>
    <mergeCell ref="F27:G27"/>
  </mergeCells>
  <conditionalFormatting sqref="E22:E23 G22:G23">
    <cfRule type="cellIs" dxfId="1" priority="5" operator="equal">
      <formula>"N"</formula>
    </cfRule>
    <cfRule type="cellIs" dxfId="0" priority="6" operator="equal">
      <formula>"Y"</formula>
    </cfRule>
  </conditionalFormatting>
  <dataValidations count="1">
    <dataValidation type="list" allowBlank="1" showInputMessage="1" showErrorMessage="1" sqref="E22:E23 G22:G23" xr:uid="{00000000-0002-0000-1600-000000000000}">
      <formula1>$B$20:$B$21</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27</vt:i4>
      </vt:variant>
    </vt:vector>
  </HeadingPairs>
  <TitlesOfParts>
    <vt:vector size="27" baseType="lpstr">
      <vt:lpstr>User guide</vt:lpstr>
      <vt:lpstr>1. Criteria</vt:lpstr>
      <vt:lpstr>2. &amp; 3. Weighting</vt:lpstr>
      <vt:lpstr>4. Indicator_example</vt:lpstr>
      <vt:lpstr>Normalization</vt:lpstr>
      <vt:lpstr>Ranking_calc</vt:lpstr>
      <vt:lpstr>ECO1</vt:lpstr>
      <vt:lpstr>ECO2</vt:lpstr>
      <vt:lpstr>ECO3</vt:lpstr>
      <vt:lpstr>ECO4</vt:lpstr>
      <vt:lpstr>ECO5</vt:lpstr>
      <vt:lpstr>ENV1</vt:lpstr>
      <vt:lpstr>ENV2</vt:lpstr>
      <vt:lpstr>ENV3</vt:lpstr>
      <vt:lpstr>SOCI1</vt:lpstr>
      <vt:lpstr>SOCI2</vt:lpstr>
      <vt:lpstr>SOCI3</vt:lpstr>
      <vt:lpstr>SOCI4</vt:lpstr>
      <vt:lpstr>SOCI5</vt:lpstr>
      <vt:lpstr>TECH1</vt:lpstr>
      <vt:lpstr>TECH2</vt:lpstr>
      <vt:lpstr>TECH3</vt:lpstr>
      <vt:lpstr>TECH4</vt:lpstr>
      <vt:lpstr>TECH5</vt:lpstr>
      <vt:lpstr>RISK1</vt:lpstr>
      <vt:lpstr>RISK2</vt:lpstr>
      <vt:lpstr>RISK3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François</dc:creator>
  <cp:lastModifiedBy>Nikolas Schöne</cp:lastModifiedBy>
  <dcterms:created xsi:type="dcterms:W3CDTF">2015-06-05T18:19:34Z</dcterms:created>
  <dcterms:modified xsi:type="dcterms:W3CDTF">2023-05-31T13:23:07Z</dcterms:modified>
</cp:coreProperties>
</file>