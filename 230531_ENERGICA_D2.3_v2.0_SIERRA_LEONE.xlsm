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Ex2.xml" ContentType="application/vnd.ms-office.chartex+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Ex3.xml" ContentType="application/vnd.ms-office.chartex+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Ex4.xml" ContentType="application/vnd.ms-office.chartex+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Ex5.xml" ContentType="application/vnd.ms-office.chartex+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harts/chartEx6.xml" ContentType="application/vnd.ms-office.chartex+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Ex7.xml" ContentType="application/vnd.ms-office.chartex+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Ex8.xml" ContentType="application/vnd.ms-office.chartex+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Ex9.xml" ContentType="application/vnd.ms-office.chartex+xml"/>
  <Override PartName="/xl/charts/style12.xml" ContentType="application/vnd.ms-office.chartstyle+xml"/>
  <Override PartName="/xl/charts/colors12.xml" ContentType="application/vnd.ms-office.chartcolorstyle+xml"/>
  <Override PartName="/xl/drawings/drawing14.xml" ContentType="application/vnd.openxmlformats-officedocument.drawing+xml"/>
  <Override PartName="/xl/comments1.xml" ContentType="application/vnd.openxmlformats-officedocument.spreadsheetml.comments+xml"/>
  <Override PartName="/xl/charts/chartEx10.xml" ContentType="application/vnd.ms-office.chartex+xml"/>
  <Override PartName="/xl/charts/style13.xml" ContentType="application/vnd.ms-office.chartstyle+xml"/>
  <Override PartName="/xl/charts/colors13.xml" ContentType="application/vnd.ms-office.chartcolorstyle+xml"/>
  <Override PartName="/xl/drawings/drawing15.xml" ContentType="application/vnd.openxmlformats-officedocument.drawing+xml"/>
  <Override PartName="/xl/comments2.xml" ContentType="application/vnd.openxmlformats-officedocument.spreadsheetml.comments+xml"/>
  <Override PartName="/xl/charts/chartEx11.xml" ContentType="application/vnd.ms-office.chartex+xml"/>
  <Override PartName="/xl/charts/style14.xml" ContentType="application/vnd.ms-office.chartstyle+xml"/>
  <Override PartName="/xl/charts/colors14.xml" ContentType="application/vnd.ms-office.chartcolorstyle+xml"/>
  <Override PartName="/xl/drawings/drawing16.xml" ContentType="application/vnd.openxmlformats-officedocument.drawing+xml"/>
  <Override PartName="/xl/charts/chartEx12.xml" ContentType="application/vnd.ms-office.chartex+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charts/chartEx13.xml" ContentType="application/vnd.ms-office.chartex+xml"/>
  <Override PartName="/xl/charts/style16.xml" ContentType="application/vnd.ms-office.chartstyle+xml"/>
  <Override PartName="/xl/charts/colors16.xml" ContentType="application/vnd.ms-office.chartcolorstyle+xml"/>
  <Override PartName="/xl/drawings/drawing18.xml" ContentType="application/vnd.openxmlformats-officedocument.drawing+xml"/>
  <Override PartName="/xl/charts/chartEx14.xml" ContentType="application/vnd.ms-office.chartex+xml"/>
  <Override PartName="/xl/charts/style17.xml" ContentType="application/vnd.ms-office.chartstyle+xml"/>
  <Override PartName="/xl/charts/colors17.xml" ContentType="application/vnd.ms-office.chartcolorstyle+xml"/>
  <Override PartName="/xl/drawings/drawing19.xml" ContentType="application/vnd.openxmlformats-officedocument.drawing+xml"/>
  <Override PartName="/xl/charts/chartEx15.xml" ContentType="application/vnd.ms-office.chartex+xml"/>
  <Override PartName="/xl/charts/style18.xml" ContentType="application/vnd.ms-office.chartstyle+xml"/>
  <Override PartName="/xl/charts/colors18.xml" ContentType="application/vnd.ms-office.chartcolorstyle+xml"/>
  <Override PartName="/xl/drawings/drawing20.xml" ContentType="application/vnd.openxmlformats-officedocument.drawing+xml"/>
  <Override PartName="/xl/charts/chartEx16.xml" ContentType="application/vnd.ms-office.chartex+xml"/>
  <Override PartName="/xl/charts/style19.xml" ContentType="application/vnd.ms-office.chartstyle+xml"/>
  <Override PartName="/xl/charts/colors19.xml" ContentType="application/vnd.ms-office.chartcolorstyle+xml"/>
  <Override PartName="/xl/drawings/drawing21.xml" ContentType="application/vnd.openxmlformats-officedocument.drawing+xml"/>
  <Override PartName="/xl/charts/chartEx17.xml" ContentType="application/vnd.ms-office.chartex+xml"/>
  <Override PartName="/xl/charts/style20.xml" ContentType="application/vnd.ms-office.chartstyle+xml"/>
  <Override PartName="/xl/charts/colors20.xml" ContentType="application/vnd.ms-office.chartcolorstyle+xml"/>
  <Override PartName="/xl/drawings/drawing22.xml" ContentType="application/vnd.openxmlformats-officedocument.drawing+xml"/>
  <Override PartName="/xl/charts/chartEx18.xml" ContentType="application/vnd.ms-office.chartex+xml"/>
  <Override PartName="/xl/charts/style21.xml" ContentType="application/vnd.ms-office.chartstyle+xml"/>
  <Override PartName="/xl/charts/colors21.xml" ContentType="application/vnd.ms-office.chartcolorstyle+xml"/>
  <Override PartName="/xl/drawings/drawing23.xml" ContentType="application/vnd.openxmlformats-officedocument.drawing+xml"/>
  <Override PartName="/xl/charts/chartEx19.xml" ContentType="application/vnd.ms-office.chartex+xml"/>
  <Override PartName="/xl/charts/style22.xml" ContentType="application/vnd.ms-office.chartstyle+xml"/>
  <Override PartName="/xl/charts/colors22.xml" ContentType="application/vnd.ms-office.chartcolorstyle+xml"/>
  <Override PartName="/xl/drawings/drawing24.xml" ContentType="application/vnd.openxmlformats-officedocument.drawing+xml"/>
  <Override PartName="/xl/charts/chartEx20.xml" ContentType="application/vnd.ms-office.chartex+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https://d.docs.live.net/d6981608cac58dc2/Desktop/Desktop_new/Projekte/ENERGICA/Workpackages/WEP2/MCDA/MCDA_Submission_tools/"/>
    </mc:Choice>
  </mc:AlternateContent>
  <xr:revisionPtr revIDLastSave="0" documentId="8_{77431E44-9F63-4816-B622-CBBE9C227687}" xr6:coauthVersionLast="47" xr6:coauthVersionMax="47" xr10:uidLastSave="{00000000-0000-0000-0000-000000000000}"/>
  <bookViews>
    <workbookView xWindow="57480" yWindow="-120" windowWidth="29040" windowHeight="15720" tabRatio="740" xr2:uid="{00000000-000D-0000-FFFF-FFFF00000000}"/>
  </bookViews>
  <sheets>
    <sheet name="User guide" sheetId="49" r:id="rId1"/>
    <sheet name="1. Criteria" sheetId="9" r:id="rId2"/>
    <sheet name="2. &amp; 3. Weighting" sheetId="41" r:id="rId3"/>
    <sheet name="4. Indicator_example" sheetId="52" r:id="rId4"/>
    <sheet name="Normalization" sheetId="42" state="hidden" r:id="rId5"/>
    <sheet name="Ranking_calc" sheetId="43" state="hidden" r:id="rId6"/>
    <sheet name="ECO1" sheetId="17" r:id="rId7"/>
    <sheet name="ECO2" sheetId="33" state="hidden" r:id="rId8"/>
    <sheet name="ECO3" sheetId="19" r:id="rId9"/>
    <sheet name="ECO4" sheetId="20" r:id="rId10"/>
    <sheet name="ECO5" sheetId="48" r:id="rId11"/>
    <sheet name="ENV1" sheetId="5" r:id="rId12"/>
    <sheet name="ENV2" sheetId="32" r:id="rId13"/>
    <sheet name="ENV3" sheetId="15" r:id="rId14"/>
    <sheet name="ENV4" sheetId="16" state="hidden" r:id="rId15"/>
    <sheet name="SOCI1" sheetId="21" r:id="rId16"/>
    <sheet name="SOCI2" sheetId="23" r:id="rId17"/>
    <sheet name="SOCI3" sheetId="22" r:id="rId18"/>
    <sheet name="SOCI4" sheetId="46" r:id="rId19"/>
    <sheet name="SOCI5" sheetId="47" state="hidden" r:id="rId20"/>
    <sheet name="TECH1" sheetId="24" r:id="rId21"/>
    <sheet name="TECH2" sheetId="25" state="hidden" r:id="rId22"/>
    <sheet name="TECH3" sheetId="26" r:id="rId23"/>
    <sheet name="TECH4" sheetId="40" r:id="rId24"/>
    <sheet name="TECH5" sheetId="38" r:id="rId25"/>
    <sheet name="RISK1" sheetId="39" r:id="rId26"/>
    <sheet name="RISK2" sheetId="27" r:id="rId27"/>
    <sheet name="RISK3" sheetId="44" r:id="rId28"/>
  </sheets>
  <definedNames>
    <definedName name="_xlchart.v1.0" hidden="1">'4. Indicator_example'!$D$21</definedName>
    <definedName name="_xlchart.v1.1" hidden="1">'4. Indicator_example'!$D$22:$D$25</definedName>
    <definedName name="_xlchart.v1.10" hidden="1">'ECO1'!$H$21</definedName>
    <definedName name="_xlchart.v1.100" hidden="1">TECH3!$H$21</definedName>
    <definedName name="_xlchart.v1.101" hidden="1">TECH3!$H$22:$H$31</definedName>
    <definedName name="_xlchart.v1.102" hidden="1">TECH3!$F$21</definedName>
    <definedName name="_xlchart.v1.103" hidden="1">TECH3!$H$21</definedName>
    <definedName name="_xlchart.v1.104" hidden="1">TECH4!$D$21</definedName>
    <definedName name="_xlchart.v1.105" hidden="1">TECH4!$D$22:$D$25</definedName>
    <definedName name="_xlchart.v1.106" hidden="1">TECH4!$F$22:$F$25</definedName>
    <definedName name="_xlchart.v1.107" hidden="1">TECH4!$H$22:$H$25</definedName>
    <definedName name="_xlchart.v1.11" hidden="1">'ECO1'!$H$22:$H$28</definedName>
    <definedName name="_xlchart.v1.12" hidden="1">'ECO2'!$D$21</definedName>
    <definedName name="_xlchart.v1.13" hidden="1">'ECO2'!$D$22:$D$24</definedName>
    <definedName name="_xlchart.v1.14" hidden="1">'ECO2'!$F$21</definedName>
    <definedName name="_xlchart.v1.15" hidden="1">'ECO2'!$F$22:$F$24</definedName>
    <definedName name="_xlchart.v1.16" hidden="1">'ECO2'!$H$21</definedName>
    <definedName name="_xlchart.v1.17" hidden="1">'ECO2'!$H$22:$H$24</definedName>
    <definedName name="_xlchart.v1.18" hidden="1">'ECO3'!$D$23</definedName>
    <definedName name="_xlchart.v1.19" hidden="1">'ECO3'!$D$24:$D$26</definedName>
    <definedName name="_xlchart.v1.2" hidden="1">'4. Indicator_example'!$F$21</definedName>
    <definedName name="_xlchart.v1.20" hidden="1">'ECO3'!$F$23</definedName>
    <definedName name="_xlchart.v1.21" hidden="1">'ECO3'!$F$24:$F$26</definedName>
    <definedName name="_xlchart.v1.22" hidden="1">'ECO3'!$H$23</definedName>
    <definedName name="_xlchart.v1.23" hidden="1">'ECO3'!$H$24:$H$26</definedName>
    <definedName name="_xlchart.v1.24" hidden="1">'ECO4'!$D$21:$E$21</definedName>
    <definedName name="_xlchart.v1.25" hidden="1">'ECO4'!$D$22:$D$29</definedName>
    <definedName name="_xlchart.v1.26" hidden="1">'ECO4'!$F$21:$G$21</definedName>
    <definedName name="_xlchart.v1.27" hidden="1">'ECO4'!$F$22:$F$29</definedName>
    <definedName name="_xlchart.v1.28" hidden="1">'ECO4'!$H$21:$I$21</definedName>
    <definedName name="_xlchart.v1.29" hidden="1">'ECO4'!$H$22:$H$29</definedName>
    <definedName name="_xlchart.v1.3" hidden="1">'4. Indicator_example'!$F$22:$F$25</definedName>
    <definedName name="_xlchart.v1.30" hidden="1">'ECO5'!$D$21</definedName>
    <definedName name="_xlchart.v1.31" hidden="1">'ECO5'!$D$22:$D$27</definedName>
    <definedName name="_xlchart.v1.32" hidden="1">'ECO5'!$F$21</definedName>
    <definedName name="_xlchart.v1.33" hidden="1">'ECO5'!$F$22:$F$27</definedName>
    <definedName name="_xlchart.v1.34" hidden="1">'ECO5'!$H$21</definedName>
    <definedName name="_xlchart.v1.35" hidden="1">'ECO5'!$H$22:$H$27</definedName>
    <definedName name="_xlchart.v1.36" hidden="1">'ENV1'!$D$21</definedName>
    <definedName name="_xlchart.v1.37" hidden="1">'ENV1'!$D$22:$D$27</definedName>
    <definedName name="_xlchart.v1.38" hidden="1">'ENV1'!$F$21</definedName>
    <definedName name="_xlchart.v1.39" hidden="1">'ENV1'!$F$22:$F$27</definedName>
    <definedName name="_xlchart.v1.4" hidden="1">'4. Indicator_example'!$H$21</definedName>
    <definedName name="_xlchart.v1.40" hidden="1">'ENV1'!$H$21</definedName>
    <definedName name="_xlchart.v1.41" hidden="1">'ENV1'!$H$22:$H$27</definedName>
    <definedName name="_xlchart.v1.42" hidden="1">'ENV3'!$D$21</definedName>
    <definedName name="_xlchart.v1.43" hidden="1">'ENV3'!$D$22:$D$25</definedName>
    <definedName name="_xlchart.v1.44" hidden="1">'ENV3'!$F$21</definedName>
    <definedName name="_xlchart.v1.45" hidden="1">'ENV3'!$F$22:$F$25</definedName>
    <definedName name="_xlchart.v1.46" hidden="1">'ENV3'!$H$21</definedName>
    <definedName name="_xlchart.v1.47" hidden="1">'ENV3'!$H$22:$H$25</definedName>
    <definedName name="_xlchart.v1.48" hidden="1">'ENV4'!$D$22</definedName>
    <definedName name="_xlchart.v1.49" hidden="1">'ENV4'!$D$23:$D$25</definedName>
    <definedName name="_xlchart.v1.5" hidden="1">'4. Indicator_example'!$H$22:$H$25</definedName>
    <definedName name="_xlchart.v1.50" hidden="1">'ENV4'!$F$22</definedName>
    <definedName name="_xlchart.v1.51" hidden="1">'ENV4'!$F$23:$F$25</definedName>
    <definedName name="_xlchart.v1.52" hidden="1">'ENV4'!$H$22</definedName>
    <definedName name="_xlchart.v1.53" hidden="1">'ENV4'!$H$23:$H$25</definedName>
    <definedName name="_xlchart.v1.54" hidden="1">SOCI1!$D$21</definedName>
    <definedName name="_xlchart.v1.55" hidden="1">SOCI1!$D$22:$D$28</definedName>
    <definedName name="_xlchart.v1.56" hidden="1">SOCI1!$F$21</definedName>
    <definedName name="_xlchart.v1.57" hidden="1">SOCI1!$F$22:$F$28</definedName>
    <definedName name="_xlchart.v1.58" hidden="1">SOCI1!$H$21</definedName>
    <definedName name="_xlchart.v1.59" hidden="1">SOCI1!$H$22:$H$28</definedName>
    <definedName name="_xlchart.v1.6" hidden="1">'ECO1'!$D$21</definedName>
    <definedName name="_xlchart.v1.60" hidden="1">SOCI2!$D$21</definedName>
    <definedName name="_xlchart.v1.61" hidden="1">SOCI2!$D$22:$D$24</definedName>
    <definedName name="_xlchart.v1.62" hidden="1">SOCI2!$F$21</definedName>
    <definedName name="_xlchart.v1.63" hidden="1">SOCI2!$F$22:$F$24</definedName>
    <definedName name="_xlchart.v1.64" hidden="1">SOCI2!$H$21</definedName>
    <definedName name="_xlchart.v1.65" hidden="1">SOCI2!$H$22:$H$24</definedName>
    <definedName name="_xlchart.v1.66" hidden="1">SOCI3!$D$21</definedName>
    <definedName name="_xlchart.v1.67" hidden="1">SOCI3!$D$22:$D$25</definedName>
    <definedName name="_xlchart.v1.68" hidden="1">SOCI3!$F$21</definedName>
    <definedName name="_xlchart.v1.69" hidden="1">SOCI3!$F$22:$F$25</definedName>
    <definedName name="_xlchart.v1.7" hidden="1">'ECO1'!$D$22:$D$28</definedName>
    <definedName name="_xlchart.v1.70" hidden="1">SOCI3!$H$21</definedName>
    <definedName name="_xlchart.v1.71" hidden="1">SOCI3!$H$22:$H$25</definedName>
    <definedName name="_xlchart.v1.72" hidden="1">SOCI4!$D$21</definedName>
    <definedName name="_xlchart.v1.73" hidden="1">SOCI4!$D$22:$D$28</definedName>
    <definedName name="_xlchart.v1.74" hidden="1">SOCI4!$F$21</definedName>
    <definedName name="_xlchart.v1.75" hidden="1">SOCI4!$F$22:$F$28</definedName>
    <definedName name="_xlchart.v1.76" hidden="1">SOCI4!$H$21</definedName>
    <definedName name="_xlchart.v1.77" hidden="1">SOCI4!$H$22:$H$28</definedName>
    <definedName name="_xlchart.v1.78" hidden="1">SOCI5!$D$21</definedName>
    <definedName name="_xlchart.v1.79" hidden="1">SOCI5!$D$22:$D$28</definedName>
    <definedName name="_xlchart.v1.8" hidden="1">'ECO1'!$F$21</definedName>
    <definedName name="_xlchart.v1.80" hidden="1">SOCI5!$F$21</definedName>
    <definedName name="_xlchart.v1.81" hidden="1">SOCI5!$F$22:$F$28</definedName>
    <definedName name="_xlchart.v1.82" hidden="1">SOCI5!$H$21</definedName>
    <definedName name="_xlchart.v1.83" hidden="1">SOCI5!$H$22:$H$28</definedName>
    <definedName name="_xlchart.v1.84" hidden="1">TECH1!$D$21</definedName>
    <definedName name="_xlchart.v1.85" hidden="1">TECH1!$D$22:$D$26</definedName>
    <definedName name="_xlchart.v1.86" hidden="1">TECH1!$F$21</definedName>
    <definedName name="_xlchart.v1.87" hidden="1">TECH1!$F$22:$F$26</definedName>
    <definedName name="_xlchart.v1.88" hidden="1">TECH1!$H$21</definedName>
    <definedName name="_xlchart.v1.89" hidden="1">TECH1!$H$22:$H$26</definedName>
    <definedName name="_xlchart.v1.9" hidden="1">'ECO1'!$F$22:$F$28</definedName>
    <definedName name="_xlchart.v1.90" hidden="1">TECH1!$D$21</definedName>
    <definedName name="_xlchart.v1.91" hidden="1">TECH1!$F$21</definedName>
    <definedName name="_xlchart.v1.92" hidden="1">TECH1!$H$21</definedName>
    <definedName name="_xlchart.v1.93" hidden="1">TECH2!$E$22:$E$26</definedName>
    <definedName name="_xlchart.v1.94" hidden="1">TECH2!$G$22:$G$26</definedName>
    <definedName name="_xlchart.v1.95" hidden="1">TECH2!$I$22:$I$26</definedName>
    <definedName name="_xlchart.v1.96" hidden="1">TECH3!$D$21</definedName>
    <definedName name="_xlchart.v1.97" hidden="1">TECH3!$D$22:$D$31</definedName>
    <definedName name="_xlchart.v1.98" hidden="1">TECH3!$F$21</definedName>
    <definedName name="_xlchart.v1.99" hidden="1">TECH3!$F$22:$F$31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5" i="32" l="1"/>
  <c r="D26" i="32" s="1"/>
  <c r="F25" i="32"/>
  <c r="F26" i="32" s="1"/>
  <c r="H25" i="32"/>
  <c r="H26" i="32" s="1"/>
  <c r="D34" i="20"/>
  <c r="F33" i="17"/>
  <c r="Z4" i="41"/>
  <c r="Y4" i="41"/>
  <c r="X4" i="41"/>
  <c r="W4" i="41"/>
  <c r="V4" i="41"/>
  <c r="U4" i="41"/>
  <c r="S4" i="41"/>
  <c r="Q4" i="41"/>
  <c r="P4" i="41"/>
  <c r="O4" i="41"/>
  <c r="N4" i="41"/>
  <c r="M4" i="41"/>
  <c r="L4" i="41"/>
  <c r="K4" i="41"/>
  <c r="I4" i="41"/>
  <c r="G4" i="41"/>
  <c r="F4" i="41"/>
  <c r="E4" i="41"/>
  <c r="F30" i="27"/>
  <c r="H29" i="27" l="1"/>
  <c r="H30" i="27" s="1"/>
  <c r="H28" i="27"/>
  <c r="F26" i="27"/>
  <c r="F27" i="27"/>
  <c r="H27" i="27"/>
  <c r="H26" i="27"/>
  <c r="D29" i="27"/>
  <c r="D30" i="27" s="1"/>
  <c r="C28" i="41"/>
  <c r="C27" i="41"/>
  <c r="C26" i="41"/>
  <c r="F13" i="49" l="1"/>
  <c r="F12" i="49"/>
  <c r="F11" i="49"/>
  <c r="H29" i="52"/>
  <c r="H30" i="52" s="1"/>
  <c r="F29" i="52"/>
  <c r="F30" i="52" s="1"/>
  <c r="D29" i="52"/>
  <c r="D30" i="52" s="1"/>
  <c r="H28" i="52"/>
  <c r="F28" i="52"/>
  <c r="D28" i="52"/>
  <c r="H27" i="52"/>
  <c r="F27" i="52"/>
  <c r="D27" i="52"/>
  <c r="H26" i="52"/>
  <c r="F26" i="52"/>
  <c r="D26" i="52"/>
  <c r="C21" i="52"/>
  <c r="F29" i="22"/>
  <c r="F30" i="22" s="1"/>
  <c r="P18" i="41" s="1"/>
  <c r="D31" i="17"/>
  <c r="I23" i="42"/>
  <c r="G23" i="42"/>
  <c r="E23" i="42"/>
  <c r="M16" i="41"/>
  <c r="D27" i="44"/>
  <c r="D28" i="44" s="1"/>
  <c r="D26" i="44"/>
  <c r="D25" i="44"/>
  <c r="D24" i="44"/>
  <c r="D28" i="27"/>
  <c r="D27" i="27"/>
  <c r="D26" i="27"/>
  <c r="D27" i="39"/>
  <c r="D28" i="39" s="1"/>
  <c r="D26" i="39"/>
  <c r="D25" i="39"/>
  <c r="D24" i="39"/>
  <c r="D24" i="38"/>
  <c r="D25" i="38" s="1"/>
  <c r="D23" i="38"/>
  <c r="D29" i="40"/>
  <c r="D30" i="40" s="1"/>
  <c r="D28" i="40"/>
  <c r="D27" i="40"/>
  <c r="D26" i="40"/>
  <c r="D35" i="26"/>
  <c r="D36" i="26" s="1"/>
  <c r="D34" i="26"/>
  <c r="D33" i="26"/>
  <c r="D32" i="26"/>
  <c r="E30" i="25"/>
  <c r="E29" i="25"/>
  <c r="E28" i="25"/>
  <c r="E27" i="25"/>
  <c r="D30" i="24"/>
  <c r="D31" i="24" s="1"/>
  <c r="D29" i="24"/>
  <c r="D28" i="24"/>
  <c r="H32" i="47"/>
  <c r="H31" i="47"/>
  <c r="F32" i="47"/>
  <c r="F31" i="47"/>
  <c r="D32" i="47"/>
  <c r="H32" i="46"/>
  <c r="H31" i="46"/>
  <c r="F32" i="46"/>
  <c r="F31" i="46"/>
  <c r="D32" i="46"/>
  <c r="D31" i="46"/>
  <c r="D30" i="46"/>
  <c r="D29" i="46"/>
  <c r="H29" i="22"/>
  <c r="H30" i="22" s="1"/>
  <c r="P19" i="41" s="1"/>
  <c r="H28" i="22"/>
  <c r="F28" i="22"/>
  <c r="F27" i="22"/>
  <c r="F26" i="22"/>
  <c r="D29" i="22"/>
  <c r="D30" i="22" s="1"/>
  <c r="P17" i="41" s="1"/>
  <c r="D28" i="23"/>
  <c r="D29" i="23" s="1"/>
  <c r="D27" i="23"/>
  <c r="D26" i="23"/>
  <c r="D25" i="23"/>
  <c r="H32" i="21"/>
  <c r="H33" i="21" s="1"/>
  <c r="H31" i="21"/>
  <c r="H30" i="21"/>
  <c r="H29" i="21"/>
  <c r="F32" i="21"/>
  <c r="F33" i="21" s="1"/>
  <c r="F31" i="21"/>
  <c r="F30" i="21"/>
  <c r="F29" i="21"/>
  <c r="D32" i="21"/>
  <c r="D33" i="21" s="1"/>
  <c r="D31" i="21"/>
  <c r="D30" i="21"/>
  <c r="D29" i="21"/>
  <c r="H29" i="16"/>
  <c r="H28" i="16"/>
  <c r="H27" i="16"/>
  <c r="H26" i="16"/>
  <c r="F29" i="16"/>
  <c r="F28" i="16"/>
  <c r="F27" i="16"/>
  <c r="F26" i="16"/>
  <c r="D29" i="16"/>
  <c r="D28" i="16"/>
  <c r="D27" i="16"/>
  <c r="D26" i="16"/>
  <c r="D28" i="15"/>
  <c r="F24" i="32"/>
  <c r="D29" i="48"/>
  <c r="D28" i="19"/>
  <c r="D26" i="33"/>
  <c r="D29" i="17"/>
  <c r="H27" i="44"/>
  <c r="H28" i="44" s="1"/>
  <c r="F27" i="44"/>
  <c r="F28" i="44" s="1"/>
  <c r="F29" i="27"/>
  <c r="F28" i="27"/>
  <c r="F27" i="39"/>
  <c r="F28" i="39" s="1"/>
  <c r="H27" i="39"/>
  <c r="H28" i="39" s="1"/>
  <c r="H24" i="38"/>
  <c r="H25" i="38" s="1"/>
  <c r="H26" i="39"/>
  <c r="C2" i="39"/>
  <c r="H29" i="40"/>
  <c r="H30" i="40" s="1"/>
  <c r="H28" i="40"/>
  <c r="F28" i="40"/>
  <c r="F29" i="40"/>
  <c r="F30" i="40" s="1"/>
  <c r="H27" i="40"/>
  <c r="H26" i="40"/>
  <c r="F26" i="40"/>
  <c r="H24" i="32"/>
  <c r="D24" i="32"/>
  <c r="H31" i="48"/>
  <c r="H32" i="48" s="1"/>
  <c r="M19" i="41" s="1"/>
  <c r="F31" i="48"/>
  <c r="F32" i="48" s="1"/>
  <c r="M18" i="41" s="1"/>
  <c r="D31" i="48"/>
  <c r="D32" i="48" s="1"/>
  <c r="M17" i="41" s="1"/>
  <c r="H30" i="48"/>
  <c r="F30" i="48"/>
  <c r="D30" i="48"/>
  <c r="H29" i="48"/>
  <c r="F29" i="48"/>
  <c r="H28" i="48"/>
  <c r="F28" i="48"/>
  <c r="D28" i="48"/>
  <c r="C21" i="48"/>
  <c r="E7" i="42"/>
  <c r="G2" i="43"/>
  <c r="F2" i="43"/>
  <c r="E2" i="43"/>
  <c r="N41" i="41"/>
  <c r="N40" i="41"/>
  <c r="N39" i="41"/>
  <c r="I49" i="42"/>
  <c r="I47" i="42"/>
  <c r="G49" i="42"/>
  <c r="G47" i="42"/>
  <c r="E49" i="42"/>
  <c r="E47" i="42"/>
  <c r="F28" i="19"/>
  <c r="H28" i="19"/>
  <c r="I33" i="42"/>
  <c r="I31" i="42"/>
  <c r="I32" i="42" s="1"/>
  <c r="G33" i="42"/>
  <c r="G31" i="42"/>
  <c r="E33" i="42"/>
  <c r="E31" i="42"/>
  <c r="E24" i="42" l="1"/>
  <c r="E19" i="43" s="1"/>
  <c r="G24" i="42"/>
  <c r="F19" i="43" s="1"/>
  <c r="I24" i="42"/>
  <c r="G19" i="43" s="1"/>
  <c r="G32" i="42"/>
  <c r="F27" i="43" s="1"/>
  <c r="I50" i="42"/>
  <c r="G45" i="43" s="1"/>
  <c r="E48" i="42"/>
  <c r="E43" i="43" s="1"/>
  <c r="I48" i="42"/>
  <c r="G43" i="43" s="1"/>
  <c r="E50" i="42"/>
  <c r="E45" i="43" s="1"/>
  <c r="G50" i="42"/>
  <c r="F45" i="43" s="1"/>
  <c r="G48" i="42"/>
  <c r="F43" i="43" s="1"/>
  <c r="E32" i="42"/>
  <c r="E27" i="43" s="1"/>
  <c r="G27" i="43"/>
  <c r="E34" i="42"/>
  <c r="E29" i="43" s="1"/>
  <c r="G34" i="42"/>
  <c r="F29" i="43" s="1"/>
  <c r="I34" i="42"/>
  <c r="G29" i="43" s="1"/>
  <c r="Z19" i="41"/>
  <c r="Z18" i="41"/>
  <c r="Z17" i="41"/>
  <c r="R19" i="41"/>
  <c r="R18" i="41"/>
  <c r="R17" i="41"/>
  <c r="Z16" i="41" l="1"/>
  <c r="Y16" i="41"/>
  <c r="V16" i="41"/>
  <c r="R16" i="41"/>
  <c r="Q16" i="41"/>
  <c r="Y19" i="41"/>
  <c r="Y18" i="41"/>
  <c r="Y17" i="41"/>
  <c r="H16" i="41"/>
  <c r="C21" i="40"/>
  <c r="I30" i="25"/>
  <c r="I31" i="25" s="1"/>
  <c r="G30" i="25"/>
  <c r="G31" i="25" s="1"/>
  <c r="E31" i="25"/>
  <c r="I29" i="25"/>
  <c r="G29" i="25"/>
  <c r="I28" i="25"/>
  <c r="G28" i="25"/>
  <c r="I27" i="25"/>
  <c r="G27" i="25"/>
  <c r="D21" i="25"/>
  <c r="C21" i="25"/>
  <c r="F33" i="20"/>
  <c r="F34" i="20" s="1"/>
  <c r="F32" i="20"/>
  <c r="D29" i="19"/>
  <c r="C23" i="19"/>
  <c r="C2" i="44"/>
  <c r="C2" i="27"/>
  <c r="C2" i="38"/>
  <c r="C2" i="40"/>
  <c r="C2" i="26"/>
  <c r="D2" i="25"/>
  <c r="C2" i="24"/>
  <c r="C2" i="47"/>
  <c r="C2" i="46"/>
  <c r="C2" i="22"/>
  <c r="C14" i="22"/>
  <c r="C2" i="23"/>
  <c r="C2" i="21"/>
  <c r="C2" i="20"/>
  <c r="C2" i="19"/>
  <c r="C2" i="33"/>
  <c r="C2" i="15"/>
  <c r="C2" i="16"/>
  <c r="C2" i="5"/>
  <c r="H30" i="47"/>
  <c r="F30" i="47"/>
  <c r="H29" i="47"/>
  <c r="F29" i="47"/>
  <c r="D25" i="47"/>
  <c r="C21" i="47"/>
  <c r="H33" i="46"/>
  <c r="Q19" i="41" s="1"/>
  <c r="F33" i="46"/>
  <c r="Q18" i="41" s="1"/>
  <c r="D33" i="46"/>
  <c r="Q17" i="41" s="1"/>
  <c r="H30" i="46"/>
  <c r="F30" i="46"/>
  <c r="H29" i="46"/>
  <c r="F29" i="46"/>
  <c r="C21" i="46"/>
  <c r="H26" i="44"/>
  <c r="F26" i="44"/>
  <c r="H25" i="44"/>
  <c r="F25" i="44"/>
  <c r="H24" i="44"/>
  <c r="F24" i="44"/>
  <c r="C21" i="44"/>
  <c r="I7" i="42"/>
  <c r="C21" i="33"/>
  <c r="H24" i="33"/>
  <c r="H25" i="33" s="1"/>
  <c r="D25" i="33"/>
  <c r="F25" i="33"/>
  <c r="F26" i="33"/>
  <c r="D27" i="33"/>
  <c r="F27" i="33"/>
  <c r="D28" i="33"/>
  <c r="F28" i="33"/>
  <c r="J17" i="41"/>
  <c r="F32" i="17"/>
  <c r="D31" i="47" l="1"/>
  <c r="D30" i="47"/>
  <c r="D29" i="47"/>
  <c r="H28" i="33"/>
  <c r="H27" i="33"/>
  <c r="H26" i="33"/>
  <c r="G49" i="43" l="1"/>
  <c r="F49" i="43"/>
  <c r="E49" i="43"/>
  <c r="I45" i="42"/>
  <c r="G45" i="42"/>
  <c r="E45" i="42"/>
  <c r="I43" i="42"/>
  <c r="G43" i="42"/>
  <c r="E43" i="42"/>
  <c r="I41" i="42"/>
  <c r="G41" i="42"/>
  <c r="E41" i="42"/>
  <c r="I39" i="42"/>
  <c r="G39" i="42"/>
  <c r="E39" i="42"/>
  <c r="I37" i="42"/>
  <c r="G37" i="42"/>
  <c r="E37" i="42"/>
  <c r="I35" i="42"/>
  <c r="G35" i="42"/>
  <c r="E35" i="42"/>
  <c r="I29" i="42"/>
  <c r="G29" i="42"/>
  <c r="E29" i="42"/>
  <c r="I27" i="42"/>
  <c r="G27" i="42"/>
  <c r="E27" i="42"/>
  <c r="I25" i="42"/>
  <c r="G25" i="42"/>
  <c r="E25" i="42"/>
  <c r="I21" i="42"/>
  <c r="G21" i="42"/>
  <c r="E21" i="42"/>
  <c r="I19" i="42"/>
  <c r="G19" i="42"/>
  <c r="E19" i="42"/>
  <c r="I17" i="42"/>
  <c r="G17" i="42"/>
  <c r="E17" i="42"/>
  <c r="I15" i="42"/>
  <c r="G15" i="42"/>
  <c r="E15" i="42"/>
  <c r="I13" i="42"/>
  <c r="G13" i="42"/>
  <c r="E13" i="42"/>
  <c r="I11" i="42"/>
  <c r="G11" i="42"/>
  <c r="E11" i="42"/>
  <c r="G12" i="42" s="1"/>
  <c r="I9" i="42"/>
  <c r="G9" i="42"/>
  <c r="E9" i="42"/>
  <c r="G7" i="42"/>
  <c r="E8" i="42" s="1"/>
  <c r="X19" i="41"/>
  <c r="X18" i="41"/>
  <c r="X17" i="41"/>
  <c r="W19" i="41"/>
  <c r="W17" i="41"/>
  <c r="T19" i="41"/>
  <c r="N19" i="41"/>
  <c r="J19" i="41"/>
  <c r="H19" i="41"/>
  <c r="F19" i="41"/>
  <c r="T18" i="41"/>
  <c r="N18" i="41"/>
  <c r="J18" i="41"/>
  <c r="I18" i="41"/>
  <c r="H18" i="41"/>
  <c r="F18" i="41"/>
  <c r="U17" i="41"/>
  <c r="T17" i="41"/>
  <c r="O17" i="41"/>
  <c r="N17" i="41"/>
  <c r="H17" i="41"/>
  <c r="F17" i="41"/>
  <c r="T16" i="41"/>
  <c r="S16" i="41"/>
  <c r="P16" i="41"/>
  <c r="N16" i="41"/>
  <c r="L16" i="41"/>
  <c r="K16" i="41"/>
  <c r="J16" i="41"/>
  <c r="G16" i="41"/>
  <c r="E16" i="41"/>
  <c r="D15" i="41"/>
  <c r="F26" i="39"/>
  <c r="F25" i="39"/>
  <c r="H25" i="39"/>
  <c r="F24" i="39"/>
  <c r="H24" i="39"/>
  <c r="F24" i="38"/>
  <c r="F25" i="38" s="1"/>
  <c r="W18" i="41" s="1"/>
  <c r="H23" i="38"/>
  <c r="F23" i="38"/>
  <c r="H22" i="38"/>
  <c r="F22" i="38"/>
  <c r="D22" i="38"/>
  <c r="H21" i="38"/>
  <c r="F21" i="38"/>
  <c r="D21" i="38"/>
  <c r="H30" i="24"/>
  <c r="H29" i="24"/>
  <c r="H28" i="24"/>
  <c r="H27" i="24"/>
  <c r="S17" i="41"/>
  <c r="D27" i="24"/>
  <c r="H31" i="24" l="1"/>
  <c r="S19" i="41" s="1"/>
  <c r="J15" i="41"/>
  <c r="I15" i="41"/>
  <c r="C11" i="43" s="1"/>
  <c r="L15" i="41"/>
  <c r="C17" i="43" s="1"/>
  <c r="K15" i="41"/>
  <c r="C15" i="43" s="1"/>
  <c r="M15" i="41"/>
  <c r="C19" i="43" s="1"/>
  <c r="G8" i="42"/>
  <c r="I8" i="42"/>
  <c r="W15" i="41"/>
  <c r="C39" i="43" s="1"/>
  <c r="S15" i="41"/>
  <c r="C31" i="43" s="1"/>
  <c r="E15" i="41"/>
  <c r="C3" i="43" s="1"/>
  <c r="Z15" i="41"/>
  <c r="C45" i="43" s="1"/>
  <c r="V15" i="41"/>
  <c r="C37" i="43" s="1"/>
  <c r="R15" i="41"/>
  <c r="C29" i="43" s="1"/>
  <c r="H15" i="41"/>
  <c r="C9" i="43" s="1"/>
  <c r="X15" i="41"/>
  <c r="C41" i="43" s="1"/>
  <c r="T15" i="41"/>
  <c r="C33" i="43" s="1"/>
  <c r="P15" i="41"/>
  <c r="C25" i="43" s="1"/>
  <c r="Y15" i="41"/>
  <c r="C43" i="43" s="1"/>
  <c r="U15" i="41"/>
  <c r="C35" i="43" s="1"/>
  <c r="Q15" i="41"/>
  <c r="C27" i="43" s="1"/>
  <c r="E20" i="42"/>
  <c r="G44" i="42"/>
  <c r="F39" i="43" s="1"/>
  <c r="E42" i="42"/>
  <c r="G42" i="42"/>
  <c r="I44" i="42"/>
  <c r="G10" i="42"/>
  <c r="I12" i="42"/>
  <c r="I14" i="42"/>
  <c r="I42" i="42"/>
  <c r="E44" i="42"/>
  <c r="E46" i="42"/>
  <c r="E36" i="42"/>
  <c r="G46" i="42"/>
  <c r="I46" i="42"/>
  <c r="G22" i="42"/>
  <c r="I30" i="42"/>
  <c r="E38" i="42"/>
  <c r="I40" i="42"/>
  <c r="G40" i="42"/>
  <c r="E28" i="42"/>
  <c r="I36" i="42"/>
  <c r="G38" i="42"/>
  <c r="I38" i="42"/>
  <c r="E40" i="42"/>
  <c r="G18" i="42"/>
  <c r="G28" i="42"/>
  <c r="G36" i="42"/>
  <c r="E16" i="42"/>
  <c r="I18" i="42"/>
  <c r="I22" i="42"/>
  <c r="E26" i="42"/>
  <c r="I28" i="42"/>
  <c r="E30" i="42"/>
  <c r="G16" i="42"/>
  <c r="G20" i="42"/>
  <c r="G26" i="42"/>
  <c r="G30" i="42"/>
  <c r="I16" i="42"/>
  <c r="E18" i="42"/>
  <c r="I20" i="42"/>
  <c r="E22" i="42"/>
  <c r="E17" i="43" s="1"/>
  <c r="I26" i="42"/>
  <c r="I10" i="42"/>
  <c r="E12" i="42"/>
  <c r="G14" i="42"/>
  <c r="E10" i="42"/>
  <c r="E14" i="42"/>
  <c r="N15" i="41"/>
  <c r="C21" i="43" s="1"/>
  <c r="O15" i="41"/>
  <c r="C23" i="43" s="1"/>
  <c r="C13" i="43"/>
  <c r="F15" i="41"/>
  <c r="C5" i="43" s="1"/>
  <c r="G15" i="41"/>
  <c r="C7" i="43" s="1"/>
  <c r="H29" i="15"/>
  <c r="H30" i="15" s="1"/>
  <c r="G19" i="41" s="1"/>
  <c r="H28" i="15"/>
  <c r="F31" i="5"/>
  <c r="F32" i="5" s="1"/>
  <c r="E18" i="41" s="1"/>
  <c r="H31" i="5"/>
  <c r="H32" i="5" s="1"/>
  <c r="E19" i="41" s="1"/>
  <c r="F30" i="5"/>
  <c r="H30" i="5"/>
  <c r="D32" i="17"/>
  <c r="D30" i="17"/>
  <c r="V19" i="41"/>
  <c r="V18" i="41"/>
  <c r="H29" i="5"/>
  <c r="F29" i="5"/>
  <c r="H28" i="5"/>
  <c r="H26" i="15"/>
  <c r="H27" i="15"/>
  <c r="F28" i="5"/>
  <c r="D33" i="17" l="1"/>
  <c r="I17" i="41" s="1"/>
  <c r="G44" i="43"/>
  <c r="E44" i="43"/>
  <c r="G20" i="43"/>
  <c r="E20" i="43"/>
  <c r="F20" i="43"/>
  <c r="F40" i="43"/>
  <c r="G3" i="43"/>
  <c r="G15" i="43"/>
  <c r="G16" i="43" s="1"/>
  <c r="F7" i="43"/>
  <c r="F8" i="43" s="1"/>
  <c r="G21" i="43"/>
  <c r="G22" i="43" s="1"/>
  <c r="E25" i="43"/>
  <c r="E21" i="43"/>
  <c r="E22" i="43" s="1"/>
  <c r="G35" i="43"/>
  <c r="G36" i="43" s="1"/>
  <c r="G41" i="43"/>
  <c r="G7" i="43"/>
  <c r="G8" i="43" s="1"/>
  <c r="G39" i="43"/>
  <c r="G40" i="43" s="1"/>
  <c r="E37" i="43"/>
  <c r="E38" i="43" s="1"/>
  <c r="E5" i="43"/>
  <c r="E6" i="43" s="1"/>
  <c r="G5" i="43"/>
  <c r="G6" i="43" s="1"/>
  <c r="E3" i="43"/>
  <c r="E4" i="43" s="1"/>
  <c r="E9" i="43"/>
  <c r="E10" i="43" s="1"/>
  <c r="F3" i="43"/>
  <c r="E13" i="43"/>
  <c r="E14" i="43" s="1"/>
  <c r="F11" i="43"/>
  <c r="F12" i="43" s="1"/>
  <c r="G23" i="43"/>
  <c r="G31" i="43"/>
  <c r="G32" i="43" s="1"/>
  <c r="G25" i="43"/>
  <c r="E41" i="43"/>
  <c r="F5" i="43"/>
  <c r="F6" i="43" s="1"/>
  <c r="E15" i="43"/>
  <c r="E16" i="43" s="1"/>
  <c r="F31" i="43"/>
  <c r="F32" i="43" s="1"/>
  <c r="E35" i="43"/>
  <c r="E36" i="43" s="1"/>
  <c r="E23" i="43"/>
  <c r="F9" i="43"/>
  <c r="F10" i="43" s="1"/>
  <c r="E7" i="43"/>
  <c r="E8" i="43" s="1"/>
  <c r="E18" i="43"/>
  <c r="G11" i="43"/>
  <c r="G12" i="43" s="1"/>
  <c r="F25" i="43"/>
  <c r="F21" i="43"/>
  <c r="F22" i="43" s="1"/>
  <c r="F15" i="43"/>
  <c r="F16" i="43" s="1"/>
  <c r="G17" i="43"/>
  <c r="G18" i="43" s="1"/>
  <c r="E11" i="43"/>
  <c r="E12" i="43" s="1"/>
  <c r="F13" i="43"/>
  <c r="F14" i="43" s="1"/>
  <c r="E31" i="43"/>
  <c r="E32" i="43" s="1"/>
  <c r="E39" i="43"/>
  <c r="E40" i="43" s="1"/>
  <c r="G37" i="43"/>
  <c r="G38" i="43" s="1"/>
  <c r="F37" i="43"/>
  <c r="F38" i="43" s="1"/>
  <c r="G13" i="43"/>
  <c r="G14" i="43" s="1"/>
  <c r="F23" i="43"/>
  <c r="G33" i="43"/>
  <c r="G34" i="43" s="1"/>
  <c r="F33" i="43"/>
  <c r="F34" i="43" s="1"/>
  <c r="F35" i="43"/>
  <c r="F36" i="43" s="1"/>
  <c r="E33" i="43"/>
  <c r="E34" i="43" s="1"/>
  <c r="F17" i="43"/>
  <c r="F18" i="43" s="1"/>
  <c r="F41" i="43"/>
  <c r="G9" i="43"/>
  <c r="G10" i="43" s="1"/>
  <c r="V17" i="41"/>
  <c r="F27" i="40"/>
  <c r="G4" i="43" l="1"/>
  <c r="F4" i="43"/>
  <c r="F44" i="43"/>
  <c r="E24" i="43"/>
  <c r="F24" i="43"/>
  <c r="G24" i="43"/>
  <c r="G42" i="43"/>
  <c r="C48" i="43"/>
  <c r="F42" i="43"/>
  <c r="F26" i="43"/>
  <c r="E28" i="43"/>
  <c r="F28" i="43"/>
  <c r="G28" i="43"/>
  <c r="E42" i="43"/>
  <c r="G46" i="43"/>
  <c r="E46" i="43"/>
  <c r="E53" i="43" s="1"/>
  <c r="F46" i="43"/>
  <c r="E26" i="43"/>
  <c r="G26" i="43"/>
  <c r="F30" i="43"/>
  <c r="E30" i="43"/>
  <c r="G30" i="43"/>
  <c r="F34" i="26"/>
  <c r="F33" i="26"/>
  <c r="F35" i="26"/>
  <c r="F36" i="26" s="1"/>
  <c r="U18" i="41" s="1"/>
  <c r="F32" i="26"/>
  <c r="U39" i="41" l="1"/>
  <c r="J11" i="49"/>
  <c r="E50" i="43"/>
  <c r="E52" i="43"/>
  <c r="F52" i="43"/>
  <c r="F53" i="43"/>
  <c r="J12" i="49" s="1"/>
  <c r="G52" i="43"/>
  <c r="G53" i="43"/>
  <c r="J13" i="49" s="1"/>
  <c r="F50" i="43"/>
  <c r="G50" i="43"/>
  <c r="T39" i="41"/>
  <c r="V41" i="41" l="1"/>
  <c r="K13" i="49"/>
  <c r="V40" i="41"/>
  <c r="K12" i="49"/>
  <c r="V39" i="41"/>
  <c r="K11" i="49"/>
  <c r="T41" i="41"/>
  <c r="U41" i="41"/>
  <c r="T40" i="41"/>
  <c r="U40" i="41"/>
  <c r="E51" i="43"/>
  <c r="F51" i="43"/>
  <c r="G51" i="43"/>
  <c r="F30" i="24"/>
  <c r="F29" i="24"/>
  <c r="F27" i="24"/>
  <c r="F28" i="24"/>
  <c r="F31" i="24" l="1"/>
  <c r="S18" i="41" s="1"/>
  <c r="S41" i="41"/>
  <c r="I13" i="49"/>
  <c r="S40" i="41"/>
  <c r="I12" i="49"/>
  <c r="S39" i="41"/>
  <c r="I11" i="49"/>
  <c r="D27" i="22"/>
  <c r="D26" i="22"/>
  <c r="D28" i="22"/>
  <c r="H32" i="17"/>
  <c r="H31" i="17"/>
  <c r="H30" i="17"/>
  <c r="H29" i="17"/>
  <c r="H33" i="17" l="1"/>
  <c r="I19" i="41" s="1"/>
  <c r="C21" i="27"/>
  <c r="D32" i="20" l="1"/>
  <c r="H33" i="20"/>
  <c r="D33" i="20"/>
  <c r="H32" i="20"/>
  <c r="L17" i="41" l="1"/>
  <c r="H34" i="20"/>
  <c r="L19" i="41" s="1"/>
  <c r="D29" i="15"/>
  <c r="D30" i="15" s="1"/>
  <c r="G17" i="41" s="1"/>
  <c r="F28" i="15"/>
  <c r="F29" i="15"/>
  <c r="F30" i="15" s="1"/>
  <c r="G18" i="41" s="1"/>
  <c r="D31" i="5"/>
  <c r="D32" i="5" s="1"/>
  <c r="E17" i="41" s="1"/>
  <c r="F27" i="15"/>
  <c r="D27" i="15"/>
  <c r="D26" i="15"/>
  <c r="F26" i="15"/>
  <c r="D30" i="5" l="1"/>
  <c r="D28" i="5"/>
  <c r="D29" i="5"/>
  <c r="H29" i="19" l="1"/>
  <c r="H30" i="19"/>
  <c r="H31" i="19" s="1"/>
  <c r="K19" i="41" s="1"/>
  <c r="H27" i="19"/>
  <c r="D27" i="19"/>
  <c r="D30" i="19"/>
  <c r="F29" i="19"/>
  <c r="F30" i="19"/>
  <c r="F31" i="19" s="1"/>
  <c r="K18" i="41" s="1"/>
  <c r="F27" i="19"/>
  <c r="D31" i="19" l="1"/>
  <c r="K17" i="41" s="1"/>
  <c r="F30" i="17"/>
  <c r="F31" i="17"/>
  <c r="F29" i="17"/>
  <c r="F28" i="23"/>
  <c r="F29" i="23" s="1"/>
  <c r="O18" i="41" s="1"/>
  <c r="H28" i="23"/>
  <c r="H29" i="23" s="1"/>
  <c r="O19" i="41" s="1"/>
  <c r="F27" i="23"/>
  <c r="H27" i="23"/>
  <c r="H34" i="26" l="1"/>
  <c r="H33" i="26"/>
  <c r="H32" i="26"/>
  <c r="H35" i="26"/>
  <c r="H36" i="26" s="1"/>
  <c r="U19" i="41" s="1"/>
  <c r="C21" i="24" l="1"/>
  <c r="H26" i="23"/>
  <c r="F26" i="23"/>
  <c r="H25" i="23"/>
  <c r="F25" i="23"/>
  <c r="C21" i="23"/>
  <c r="H27" i="22"/>
  <c r="H26" i="22"/>
  <c r="C21" i="22"/>
  <c r="C21" i="21"/>
  <c r="L18" i="41" l="1"/>
  <c r="H31" i="20"/>
  <c r="F31" i="20"/>
  <c r="D31" i="20"/>
  <c r="H30" i="20"/>
  <c r="F30" i="20"/>
  <c r="D30" i="20"/>
  <c r="C21" i="20"/>
  <c r="J89" i="19"/>
  <c r="H89" i="19"/>
  <c r="F89" i="19"/>
  <c r="D89" i="19"/>
  <c r="J88" i="19"/>
  <c r="H88" i="19"/>
  <c r="F88" i="19"/>
  <c r="D88" i="19"/>
  <c r="J87" i="19"/>
  <c r="H87" i="19"/>
  <c r="F87" i="19"/>
  <c r="D87" i="19"/>
  <c r="J86" i="19"/>
  <c r="H86" i="19"/>
  <c r="F86" i="19"/>
  <c r="D86" i="19"/>
  <c r="C36" i="19"/>
  <c r="C21" i="17"/>
  <c r="C22" i="16"/>
  <c r="C21" i="15"/>
  <c r="C21"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Niger 2021</author>
  </authors>
  <commentList>
    <comment ref="D15" authorId="0" shapeId="0" xr:uid="{00000000-0006-0000-0A00-000001000000}">
      <text>
        <r>
          <rPr>
            <b/>
            <sz val="9"/>
            <color indexed="81"/>
            <rFont val="Tahoma"/>
            <family val="2"/>
          </rPr>
          <t>BONKANEY comment:</t>
        </r>
        <r>
          <rPr>
            <sz val="9"/>
            <color indexed="81"/>
            <rFont val="Tahoma"/>
            <family val="2"/>
          </rPr>
          <t xml:space="preserve">
Data from the basline assessment.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Niger 2021</author>
  </authors>
  <commentList>
    <comment ref="D15" authorId="0" shapeId="0" xr:uid="{00000000-0006-0000-0B00-000001000000}">
      <text>
        <r>
          <rPr>
            <b/>
            <sz val="9"/>
            <color indexed="81"/>
            <rFont val="Tahoma"/>
            <family val="2"/>
          </rPr>
          <t>Niger 2021:</t>
        </r>
        <r>
          <rPr>
            <sz val="9"/>
            <color indexed="81"/>
            <rFont val="Tahoma"/>
            <family val="2"/>
          </rPr>
          <t xml:space="preserve">
Data from the pilot study, Nanoé for the Malagasy context</t>
        </r>
      </text>
    </comment>
  </commentList>
</comments>
</file>

<file path=xl/sharedStrings.xml><?xml version="1.0" encoding="utf-8"?>
<sst xmlns="http://schemas.openxmlformats.org/spreadsheetml/2006/main" count="1555" uniqueCount="380">
  <si>
    <t>ENV1</t>
  </si>
  <si>
    <t xml:space="preserve">  Dimension</t>
  </si>
  <si>
    <t xml:space="preserve">  Indicator type</t>
  </si>
  <si>
    <t xml:space="preserve"> </t>
  </si>
  <si>
    <t xml:space="preserve">  Topic(s)</t>
  </si>
  <si>
    <t xml:space="preserve">  Measure</t>
  </si>
  <si>
    <t xml:space="preserve">  PURPOSE</t>
  </si>
  <si>
    <t xml:space="preserve">  </t>
  </si>
  <si>
    <t xml:space="preserve">  ASSESSMENT METHODOLOGY</t>
  </si>
  <si>
    <t xml:space="preserve">  Background</t>
  </si>
  <si>
    <r>
      <t xml:space="preserve">  </t>
    </r>
    <r>
      <rPr>
        <b/>
        <sz val="10"/>
        <color theme="1"/>
        <rFont val="Liberation Sans"/>
        <family val="2"/>
      </rPr>
      <t>Relevance</t>
    </r>
  </si>
  <si>
    <t>BG</t>
  </si>
  <si>
    <t>DG</t>
  </si>
  <si>
    <t>HP</t>
  </si>
  <si>
    <t>WP</t>
  </si>
  <si>
    <t>Technology</t>
  </si>
  <si>
    <t>Low</t>
  </si>
  <si>
    <t>High</t>
  </si>
  <si>
    <t>Corrected</t>
  </si>
  <si>
    <t>Average</t>
  </si>
  <si>
    <t xml:space="preserve">  DATA</t>
  </si>
  <si>
    <t xml:space="preserve">  General data</t>
  </si>
  <si>
    <t>Angola</t>
  </si>
  <si>
    <t>Burundi</t>
  </si>
  <si>
    <t>DRC</t>
  </si>
  <si>
    <t>Cameroon</t>
  </si>
  <si>
    <t>Central African Republic</t>
  </si>
  <si>
    <t>Chad</t>
  </si>
  <si>
    <t>Republic of the Congo</t>
  </si>
  <si>
    <t>Equatorial Guinea</t>
  </si>
  <si>
    <t>Gabon</t>
  </si>
  <si>
    <t>Kenya</t>
  </si>
  <si>
    <t>Nigeria</t>
  </si>
  <si>
    <t>Rwanda</t>
  </si>
  <si>
    <t>São Tomé and Principe</t>
  </si>
  <si>
    <t>Tanzania</t>
  </si>
  <si>
    <t>Uganda</t>
  </si>
  <si>
    <t>Sudan</t>
  </si>
  <si>
    <t>South Sudan</t>
  </si>
  <si>
    <t>Djibouti</t>
  </si>
  <si>
    <t>Eritrea</t>
  </si>
  <si>
    <t>Ethiopia</t>
  </si>
  <si>
    <t>Somalia</t>
  </si>
  <si>
    <t>Botswana</t>
  </si>
  <si>
    <t>Comoros</t>
  </si>
  <si>
    <t>Lesotho</t>
  </si>
  <si>
    <t>Madagascar</t>
  </si>
  <si>
    <t>Malawi</t>
  </si>
  <si>
    <t>Mauritius</t>
  </si>
  <si>
    <t>Mozambique</t>
  </si>
  <si>
    <t>Namibia</t>
  </si>
  <si>
    <t>Seychelles</t>
  </si>
  <si>
    <t>South Africa</t>
  </si>
  <si>
    <t>Swaziland</t>
  </si>
  <si>
    <t>Zambia</t>
  </si>
  <si>
    <t>Zimbabwe</t>
  </si>
  <si>
    <t>Benin</t>
  </si>
  <si>
    <t>Mali</t>
  </si>
  <si>
    <t>Burkina Faso</t>
  </si>
  <si>
    <t>Cape Verde</t>
  </si>
  <si>
    <t>Ivory Coast</t>
  </si>
  <si>
    <t>Gambia</t>
  </si>
  <si>
    <t>Ghana</t>
  </si>
  <si>
    <t>Guinea</t>
  </si>
  <si>
    <t>Guinea-Bissau</t>
  </si>
  <si>
    <t>Liberia</t>
  </si>
  <si>
    <t>Mauritania</t>
  </si>
  <si>
    <t>Niger</t>
  </si>
  <si>
    <t>Senegal</t>
  </si>
  <si>
    <t>Sierra Leone</t>
  </si>
  <si>
    <t>Togo</t>
  </si>
  <si>
    <t>Country-specific data</t>
  </si>
  <si>
    <t>Median</t>
  </si>
  <si>
    <t>Indicator</t>
  </si>
  <si>
    <t>Data</t>
  </si>
  <si>
    <t>Norm.</t>
  </si>
  <si>
    <t>TECH1</t>
  </si>
  <si>
    <t>ECO1</t>
  </si>
  <si>
    <t>ECO2</t>
  </si>
  <si>
    <t>ECO4</t>
  </si>
  <si>
    <t>ECO3</t>
  </si>
  <si>
    <t>ENV4</t>
  </si>
  <si>
    <t xml:space="preserve">  Normalized scorings</t>
  </si>
  <si>
    <t>+</t>
  </si>
  <si>
    <t>-</t>
  </si>
  <si>
    <t>TECH3</t>
  </si>
  <si>
    <t>Remarks</t>
  </si>
  <si>
    <t>Human health</t>
  </si>
  <si>
    <t>%</t>
  </si>
  <si>
    <t>ENV2</t>
  </si>
  <si>
    <t>ENV3</t>
  </si>
  <si>
    <t>TECH2</t>
  </si>
  <si>
    <t>TECH4</t>
  </si>
  <si>
    <t xml:space="preserve">  Indicators</t>
  </si>
  <si>
    <t>Included</t>
  </si>
  <si>
    <t>#</t>
  </si>
  <si>
    <t>Type</t>
  </si>
  <si>
    <t>Renewable</t>
  </si>
  <si>
    <t>Y</t>
  </si>
  <si>
    <t>N</t>
  </si>
  <si>
    <t>Environmental</t>
  </si>
  <si>
    <t>Climate change</t>
  </si>
  <si>
    <t>Economic</t>
  </si>
  <si>
    <t>Technical</t>
  </si>
  <si>
    <t>Dimension(s)</t>
  </si>
  <si>
    <t>Topic(s)</t>
  </si>
  <si>
    <t>Purpose</t>
  </si>
  <si>
    <t>Quantitative</t>
  </si>
  <si>
    <t xml:space="preserve">  Geographic variations</t>
  </si>
  <si>
    <t>Yes</t>
  </si>
  <si>
    <t>No</t>
  </si>
  <si>
    <t>ENV</t>
  </si>
  <si>
    <t>TECH</t>
  </si>
  <si>
    <t xml:space="preserve">  Min-max normalization</t>
  </si>
  <si>
    <t>SOCI1</t>
  </si>
  <si>
    <t>SOCI2</t>
  </si>
  <si>
    <t>Socio-Institutional</t>
  </si>
  <si>
    <t>SOCI3</t>
  </si>
  <si>
    <t>Equal weights</t>
  </si>
  <si>
    <t>Corr.</t>
  </si>
  <si>
    <t>WN</t>
  </si>
  <si>
    <t>Ranking N</t>
  </si>
  <si>
    <t>Worst</t>
  </si>
  <si>
    <t>Best</t>
  </si>
  <si>
    <t>Custom</t>
  </si>
  <si>
    <t>SOCI</t>
  </si>
  <si>
    <t>Rank
Norm.</t>
  </si>
  <si>
    <t># Worst</t>
  </si>
  <si>
    <t># Best</t>
  </si>
  <si>
    <t>Chosen weights</t>
  </si>
  <si>
    <t xml:space="preserve">Weights applied   </t>
  </si>
  <si>
    <t xml:space="preserve">  Measurement</t>
  </si>
  <si>
    <t xml:space="preserve">  Definition</t>
  </si>
  <si>
    <t>Resources</t>
  </si>
  <si>
    <t>Qualitative</t>
  </si>
  <si>
    <t>Ecosystems</t>
  </si>
  <si>
    <t>1 to 3</t>
  </si>
  <si>
    <t>Price performance</t>
  </si>
  <si>
    <t>Cultural adequacy</t>
  </si>
  <si>
    <t>Technical performance</t>
  </si>
  <si>
    <t>Sustainability Scorings</t>
  </si>
  <si>
    <t>Life deterioration due to the implementation of the energy system.</t>
  </si>
  <si>
    <t>Implication of the local community is of prime importance for the sustainability of systems: lots of projects have failed in the past because the technology was not popular among the population, and for instance led to changes in their habits they could not cope with.</t>
  </si>
  <si>
    <t>TECH5</t>
  </si>
  <si>
    <t>A</t>
  </si>
  <si>
    <t>B</t>
  </si>
  <si>
    <t>E</t>
  </si>
  <si>
    <t>F</t>
  </si>
  <si>
    <t>G</t>
  </si>
  <si>
    <t>C</t>
  </si>
  <si>
    <t>H</t>
  </si>
  <si>
    <t>I</t>
  </si>
  <si>
    <t>Ind_4</t>
  </si>
  <si>
    <t>Ind_7</t>
  </si>
  <si>
    <t>Ind_15</t>
  </si>
  <si>
    <t>Ind_17</t>
  </si>
  <si>
    <t xml:space="preserve">  Measure/Unit</t>
  </si>
  <si>
    <t xml:space="preserve">  Data acquisition</t>
  </si>
  <si>
    <t>Source</t>
  </si>
  <si>
    <t>Values from data acquisition research</t>
  </si>
  <si>
    <t>Net present value</t>
  </si>
  <si>
    <t>Flexibility</t>
  </si>
  <si>
    <t>SOCI4</t>
  </si>
  <si>
    <t>SOCI5</t>
  </si>
  <si>
    <t>Acceptability</t>
  </si>
  <si>
    <t>Awareness</t>
  </si>
  <si>
    <t>Health damage</t>
  </si>
  <si>
    <t>Social benefits</t>
  </si>
  <si>
    <t>Expertise</t>
  </si>
  <si>
    <t>Plant efficiency</t>
  </si>
  <si>
    <t>Primary energy ratio</t>
  </si>
  <si>
    <t>Safety</t>
  </si>
  <si>
    <t>GHG emissions and GWP</t>
  </si>
  <si>
    <t>NMVOC</t>
  </si>
  <si>
    <t>Risks</t>
  </si>
  <si>
    <t>RISK1</t>
  </si>
  <si>
    <t>RISK2</t>
  </si>
  <si>
    <t>RISK3</t>
  </si>
  <si>
    <t>External supply risks</t>
  </si>
  <si>
    <t>Resource supply risks</t>
  </si>
  <si>
    <t>Payback period</t>
  </si>
  <si>
    <t>LCOE</t>
  </si>
  <si>
    <t>Nanogrid</t>
  </si>
  <si>
    <t>Ecosystems
Resources
Competition with agriculture</t>
  </si>
  <si>
    <t>m2/MWh</t>
  </si>
  <si>
    <t>Land area modified during the lifecycle of the energy system per unit of energy.</t>
  </si>
  <si>
    <t>The different steps of energy production require a certain land area, which can enter in competition with other human activities (agriculture, buildable areas…) or lead to the destruction of ecosystems (landscape change, deforestation…). Therefore, the land area requirements are ideally minimal for a source of energy.</t>
  </si>
  <si>
    <t>Different categorisations of land conversion are used:
• Land conversion can be direct if occurring on-site, or indirect if the system 
implementation displaces activities (for instance, food production)
• In LCA, land use is divided into 3 categories: ALOP (agricultural land 
occupation potential), NLTP (natural land transformation potential), ULOP 
(urban land occupation potential)
Land modification occurs at the different steps of the lifecycle: fuel extraction and 
production, construction, operation and decommissioning of the system</t>
  </si>
  <si>
    <t>Data on land use is generally found as land use intensity (area per unit of energy), mostly in terms of direct land use.</t>
  </si>
  <si>
    <t>Ecosystems
Human health</t>
  </si>
  <si>
    <t>Ecosystems
Human Health</t>
  </si>
  <si>
    <t>These pollutions damage physiological and psychological health of human. Especially, chronic exposure to noise in working area of energy plants may cause noise-induced hearing loss.</t>
  </si>
  <si>
    <t>Lifecycle emissions of greenhouse gases (in CO2 equivalents) per unit of energy.</t>
  </si>
  <si>
    <t>gCO2-eq. /kWh</t>
  </si>
  <si>
    <t>The energy sector contributes to 30% of the global GHG emissions. Carbon neutral 
energy production is one of the main goals of the international community for the next decades, for CO2-neutrality to be reached as of 2050.</t>
  </si>
  <si>
    <t>A commonly used parameter in LCA is the Global Warming Potential (GWP). A large diversity of elements contributes to the greenhouse effect (of course CO2 but also CH4, CO, NOx, SOx…). To be able to compare their impacts, their respective influences on climate change are expressed in a same unit (CO2-equivalent), named GWP.
More specific to energy systems, derived from the GWP, is the Emission Factor (EF), 
expressed in kgCO2,eq/MWh, in other words the carbon intensity of the technology.
It is crucial to assess GHG emissions along the whole lifecycle of the systems.</t>
  </si>
  <si>
    <t>A cradle-to-grave approach is adopted. Data should reflect the emissions along the whole lifecycle: land use change, manufacture of the equipment, transport, energy production, energy use. Those parameters vary a lot depending on the particular context, but general tendencies can still be determined.</t>
  </si>
  <si>
    <t>Non-methane volatile organic compounds (NMVOCs) are a collection of organic compounds that differ widely in their chemical composition but display similar behaviour in the atmosphere. NMVOCs are emitted into the atmosphere from a large number of sources including combustion activities, solvent use and production processes. NMVOCs contribute to the formation of ground level (tropospheric) ozone. In addition, certain NMVOC species or species groups such as benzene and 1,3 butadiene are hazardous to human health. Quantifying the emissions of total NMVOCs provides an indicator of the emission trends of the most hazardous NMVOCs.</t>
  </si>
  <si>
    <t>kt (1000 tonnes)</t>
  </si>
  <si>
    <t>Recommended methodologies for emission inventory estimation are compiled in the EMEP/EEA Air Pollutant Emission Inventory Guidebook, (EMEP/EEA, 2009). Base data are available from the EEA Data Service (http://dataservice.eea.europa.eu/dataservice/metadetails.asp?id=1096) and the EMEP web site (http://www.ceip.at/). Where necessary, gaps in reported data are filled by ETC/ACC using simple interpolation techniques (see below). The final gap-filled data used in this indicator are available from the EEA Data Service (http://dataservice.eea.europa.eu/PivotApp/pivot.aspx?pivotid=478)</t>
  </si>
  <si>
    <t xml:space="preserve">The NPV is Also called as net present worth (NPV), and is defined as the total present value of a time series of cash flows. </t>
  </si>
  <si>
    <t>The NPV is a standard method for using the time value of money to appraise long-term energy projects. Used for capital budgeting, and widely throughout economics, it measures the excess or shortfall of cash flows, in present value terms, once financing charges are met. NPV is often used to assess the feasibility of an energy project by investors. It is also necessarily considered in the early stage of energy DM.</t>
  </si>
  <si>
    <t>When analyzing a longer-term project with multiple cash-flows, the formula of the NPV is 
with Rt as net cash inflow-outflows in a single period
i as discout rate
t as number of time periods</t>
  </si>
  <si>
    <t>Payback period of a project refers to the period of time required for the return on an investment to ‘‘repay’’ the sum of the original investment.</t>
  </si>
  <si>
    <t>yr</t>
  </si>
  <si>
    <t>The payback period intuitively measures how long something takes to ‘‘pay for itself’’; shorter payback periods are obviously preferable to longer payback periods to investors.</t>
  </si>
  <si>
    <t>To calculate the payback period you can apply the simple formula
Payback Period = Initial investment / Cash flow per year</t>
  </si>
  <si>
    <t>Widely used by official organisms (IEA, IRENA…), energy economists and energy planners, the LCOE synthesizes the main economic components of an energy system to a single aggregated value. It is particularly relevant to compare systems that have very different characteristics, lifetimes, capacities and cost distributions.</t>
  </si>
  <si>
    <t>Briefly describe the assessment methodology of the indicator The LCOE is obtained by dividing the lifetime cost of a system by its lifetime production. We use here a simplified version of the LCOE based solely on capital, O&amp;M and fuel costs, excluding context-dependent factors such as taxes, insurance, subsidies.
Other definitions exist that use the interest rate, providing interesting insights on the evolution over the years (more realistic, but more complex and with higher uncertainties).</t>
  </si>
  <si>
    <t>Positive opinions related to the implementation of the energy system.</t>
  </si>
  <si>
    <t>Acceptance is defined by Wüstenhagel &amp; al. [79] as a 3-dimensional component:
• Community acceptance (of projects, by the consumers)
• Socio-political acceptance (of technologies and policies, by the public, policy 
makers, key actors)
• Market acceptance (by consumers, investors, firms)
It can be influenced by a number of factors (ownership, labour, visual impacts, noise, 
pollution…) and varies a lot between countries, regions or even localities (depending on 
the habits of the people, their needs, their resources, their level of knowledge…)</t>
  </si>
  <si>
    <t>It measures the local community awareness and readiness for the implementation of the technology.</t>
  </si>
  <si>
    <t xml:space="preserve">Awareness of the local community is of prime importance for the sustainability of systems: lots of projects have failed in the past because the technology was not popular among the population, and for instance led to changes in their habits they could not cope with. Technology adoptions are faster when higher levels of awareness exist. </t>
  </si>
  <si>
    <t>Social</t>
  </si>
  <si>
    <t>The different steps of energy generation can cause various substances to be released into the environment and be harmful to the ecosystems and human beings, causing cancers, respiratory problems or injuries.</t>
  </si>
  <si>
    <t>Disability-adjusted life years (DALY) is a parameter classically used in LCA to 
determine the number of years lost because of bad health (illness, disability).
DALY = YLL + YLD
DALY disability-adjusted life years
YLL years of life lost
YLD years lived with disease/disability
It provides a synthesis of various effects that are harmful to humans (toxicity, particulate 
matter formation, ionising radiation…) and can be expressed relatively to a unit of energy.
Another aspect of that topic is the occupational risk, which describes the risk to workers whose job is directly related to the energy system and can be the victim of radiations, accidents… This risk if often expressed as a fatality rate per unit of energy</t>
  </si>
  <si>
    <t>Independency</t>
  </si>
  <si>
    <t>Measures the quantity of direct and indirect jobs generated during the startup, operation and maintenance per each MW installed of the power plants, considering the induced future on job opportunities.</t>
  </si>
  <si>
    <t>The implementation of decentralized energy systems is an opportunity to generate 
economic activity locally, in the form of productive uses as well as with creating jobs.</t>
  </si>
  <si>
    <t>Several categories can be considered:
• Direct jobs (directly linked to the construction and operation of the energy
system) and indirect jobs (upstream and downstream suppliers),
• Skilled or unskilled workers (who don’t need particular knowledge)
• Various contract types (salaried, self-employed, family workers, cooperatives)
The notion of indirect jobs can be further extended to jobs resulting from the productive 
uses created, for instance teachers if the project contributes to a school electrification.</t>
  </si>
  <si>
    <t>Refers to locally available expertise for the continuous operation and maintenance of the plant, the level of education.</t>
  </si>
  <si>
    <t>Quantitaive</t>
  </si>
  <si>
    <t># (Number of experts)</t>
  </si>
  <si>
    <t xml:space="preserve">Ratio between the useful amount of  energy output and the total energy input. </t>
  </si>
  <si>
    <t>The efficiency of energy generation is a particularly crucial aspect of sustainable 
development, defined by the UN as a main energy matter on global level (SDG 7.3 on energy efficiency and primary energy density). At the scale of energy systems, it defines how much useful energy output can be obtained from given input energy.</t>
  </si>
  <si>
    <t>Defining the efficiency of RES can be problematic (in defining what the actual energy 
input is). Therefore, several ways exist to define efficiency:
• Substitution principle: efficiency calculated based on the amount of fuel that 
would be needed to produce the same amount of energy in a thermal plant
• Physical efficiency: the actual technical efficiency is considered
• Fictive efficiency (IEA): since RES are available directly as secondary energy, 
the conversion efficiency is considered to be 100%
Physical efficiency depends on a lot of parameters, with losses occurring at various points of the energy chain, varying a lot depending on the technology (heat losses, transmission 
losses…).</t>
  </si>
  <si>
    <t>PER is defined as the ratio of consumption primary energy to the users’ demand energy.</t>
  </si>
  <si>
    <t>Continuous changes in technology, environmental regulation and public safety concerns make the analysis of complex safety-critical of energy systems more and more demanding.</t>
  </si>
  <si>
    <t>Several factors can contribute to a lower capacity factor:
• Resource: weather and climatic conditions, fuel supply
• Maintenance: planned and unplanned technical interventions
• Restricted power output: if energy needs are lower than the system capacity
Capacity factor is particularly variable for RES, dep</t>
  </si>
  <si>
    <t>indicates the plant’s capacity to react rapidly in energy generation and flexibly to adapt to changes in the energy and water demand.</t>
  </si>
  <si>
    <t>Risk</t>
  </si>
  <si>
    <t xml:space="preserve">Flexibility and ability to respond to demand is crucial in systems to satisfy rapid changes in the demand of customers while maintaing a high reliability of supply. This is valuable especially when cosidering the integration of productive uses. </t>
  </si>
  <si>
    <t>Direct availability of the primary energy resource.</t>
  </si>
  <si>
    <t xml:space="preserve">The IRENA defines the availability in terms of potentials of 3 different types, from the 
least to the most restrictive:
• Theoretical potential: amount of resource available without considering
conversion efficiencies and losses
• Geographic potential: theoretical resources whose exploitation is geographically 
possible and relevant (considering protected areas for instance)
• Technical potential: geographical resources </t>
  </si>
  <si>
    <t>ECO</t>
  </si>
  <si>
    <t>RISKS</t>
  </si>
  <si>
    <t>Local population awareness is a demonstration of  ensuring that beneficiaries know about the technology and administration. It is important in the goal that the beneficiaries can settle on the best choice and ideal decision.</t>
  </si>
  <si>
    <t xml:space="preserve">The outcome of any project relies on expertise of the direct beneficiaries. </t>
  </si>
  <si>
    <t>The primary energy retio is very important aspect that helps to take the energy efficiency dimension. The less primary energy is used, the more efficient is the technology.</t>
  </si>
  <si>
    <t>The quantity of the energy required for each technology is quantified and then compared to the output energy.</t>
  </si>
  <si>
    <t xml:space="preserve">LCOE:Typical LCOE values are found in the Literature and international databases. Particular attention is paid to the geographic and technical context (small-size systems), from which the LCOE is highly dependent. </t>
  </si>
  <si>
    <t>1. Low, 2. Medium, 3. High</t>
  </si>
  <si>
    <t>The inclusion of cost effective and environmentally friendly flexibles renewable energy sources that can cancel the effects of uncertainties and variabilities is essential to assess the flexibility of each technology.</t>
  </si>
  <si>
    <t xml:space="preserve">data can be obtained based on literature review regarding the flexibility of each technonolgy. </t>
  </si>
  <si>
    <t>Severe weather induced disruption such as extrinsic disruption, intrinsic of the capacity of a system and the effectiveness of the recovery as well as public safety concerns could impacts the resilience of a system.</t>
  </si>
  <si>
    <t xml:space="preserve">The data on NPV is obtained by estimating future cash flows for each period and the appropriate discount rate.
E.g. LCOE:Typical LCOE values are found in the Literature and international databases. Particular attention is paid to the geographic and technical context (small-size systems), from which the LCOE is highly dependent. </t>
  </si>
  <si>
    <t>Data on future cash flow is obtained by:  estimating the cash for the beginning of the project; estimating the cash and expenses for the next period, and subtracting the expenses from the income. Then add cash flow to the opening balance.</t>
  </si>
  <si>
    <t>Non methane volatile organic compounds</t>
  </si>
  <si>
    <t>The data of acceptability should be derived from the baseline assessment and pilot study for each demonstration site.</t>
  </si>
  <si>
    <t>The data are obtained from the pilot study and the energy baseline study for each context.</t>
  </si>
  <si>
    <t xml:space="preserve">The expertise indicator is very important in decision making since it provides a global overview on the level of education of the beneficiaries and their ability to do some small exploitations and maintenances </t>
  </si>
  <si>
    <t>The data are obtained through survey (input from pilot study ) and usisng World bank database</t>
  </si>
  <si>
    <t>Capacity Factor</t>
  </si>
  <si>
    <t xml:space="preserve">The data for the PER are from different energy sources used for each alternatives. </t>
  </si>
  <si>
    <t>Criteria to assess the degree of security of an applied technology  for a sustainable decision making.</t>
  </si>
  <si>
    <t>Data  related to the potential impacts of the technology on the population's safety  based on literature review.</t>
  </si>
  <si>
    <t>Stand-alone DG</t>
  </si>
  <si>
    <t>Fossil</t>
  </si>
  <si>
    <t>Power supply energy system</t>
  </si>
  <si>
    <t>SHS</t>
  </si>
  <si>
    <t>Capital costs</t>
  </si>
  <si>
    <t>ECO5</t>
  </si>
  <si>
    <t>Utilization costs</t>
  </si>
  <si>
    <t>€/kW</t>
  </si>
  <si>
    <t>Initial costs for investment in the energy infrastructure.</t>
  </si>
  <si>
    <t>Capital costs are a major decision element in the implementation of an energy system. They represent direct upfront costs which are linked with the construction and installation of the system. Too high capital costs can discourage the investment in a project in the absence of adequate financing mechanisms.</t>
  </si>
  <si>
    <t>Elements considered in capital costs vary depending ono the scope of the studies consulted. Following components are commonly included: 
'-Mechanical equipment
-Technological installations
-Constructions of roads/grid connections (not relevant for off-grid systems)
-Engineering services
-Incidental construction work (drilling etc.)</t>
  </si>
  <si>
    <t xml:space="preserve">Consultation of various databases and local market data from demosites. </t>
  </si>
  <si>
    <t>Costs for operation and maintenance of the energy system.</t>
  </si>
  <si>
    <t>€/kW/yr</t>
  </si>
  <si>
    <t xml:space="preserve">These costs are generated through the whole time the energy is producing electricity. They are covered on a regular basis and are therefore important to consider in a financing plan. </t>
  </si>
  <si>
    <t>The utilization costs are devided in fixed costs (€/kW) including operational expenses such as employees wages, and variable costs (€/kWh) including fuel costs.</t>
  </si>
  <si>
    <t xml:space="preserve">Fixed costs are usually given as fraction of hte initial investment costs and are obtained from literature and local market data from the demo sites. Variable costs essentially reflect fuel costs, which are obtained from local market data. </t>
  </si>
  <si>
    <t>€</t>
  </si>
  <si>
    <t>€/kWh</t>
  </si>
  <si>
    <t>Average revenue per unit of electricity generated that would be required to recover the costs of building and operating a generating plant during an assumed financial life and duty cycle.</t>
  </si>
  <si>
    <t>Noise and visual pollution</t>
  </si>
  <si>
    <t xml:space="preserve">Noise pollution emitted when operating the technology and visual effects disturbing population and environment. </t>
  </si>
  <si>
    <t xml:space="preserve">Noise and visual pollution caused by energy systems are highly individual and depend on the specific design of the asset. However, general process-related pollution can be generalized per technology. </t>
  </si>
  <si>
    <t>Stand-alone DR</t>
  </si>
  <si>
    <t>Land use</t>
  </si>
  <si>
    <t xml:space="preserve">The data is provided by the local demonstrator. </t>
  </si>
  <si>
    <t>The data of NMVOC can be obtained through estimation using empirical formulas and online database.</t>
  </si>
  <si>
    <t xml:space="preserve">Data obtained from literature research and input from local demo-sites. </t>
  </si>
  <si>
    <t>Scale 1 to 5</t>
  </si>
  <si>
    <t>Capacity of a device or system to perform as designed; the resistance to failure of a device or system; the ability of a device or system to perform a required function under stated conditions for a specified period of time; or the ability of something to ‘‘fail well’’ (fail without catastrophic consequences).</t>
  </si>
  <si>
    <t xml:space="preserve">The capacity factor is a widely used parameter to descrive the availability of an energy system. Ist ability to work at full load is expressed by calculations the ration between the energy actually produced aover a year and the maximum theoretical energy that would have been produced if the system ahd worked at its nameplate capacity the whole time. </t>
  </si>
  <si>
    <t>The data can be obtained using empirical formula of the capacity factor for each alternative.</t>
  </si>
  <si>
    <t>Ranking 1 to 3 (no, slow, fast)</t>
  </si>
  <si>
    <t>Political support</t>
  </si>
  <si>
    <t>This indicator assesses the potential risks associated with political instability (historical and expected political instability), political support (e.g manifested technology targets or fiscal incentives) how it may alter the project sustainability.</t>
  </si>
  <si>
    <t xml:space="preserve">The political stability, i.e. support, of certain technologies and their pathway may influence the future potential and market conditions. 
</t>
  </si>
  <si>
    <t xml:space="preserve">As political support in any frm influences the market conditions for suppliers and customers of technologies it is a crucial factor to consider when evaluating suitable environmnets for energy system technologies. Superordinate, the political stability of a country in general shapes the market conditions. </t>
  </si>
  <si>
    <t xml:space="preserve">Data on poiltical instability, democracy and indenpence of istitution can be obtained from regional reports. The regulatory framework analysis flowcharts submitted in WP1 supports the assessment of the political support. </t>
  </si>
  <si>
    <t>Ranking 1 to 3</t>
  </si>
  <si>
    <t xml:space="preserve">Direct availability of the technologies and goods required for constinuous operation of the energy system. </t>
  </si>
  <si>
    <t>The external supply risk is an important to assess  sustainability of the technology through the continuous supply of the primary resource. The energy security of most energy systems is at risks from the effect of global energy crisis and global warming. The reliable supply to endusers can be seriously threatened by extreme weather events as well as energy crisis.</t>
  </si>
  <si>
    <t>The data acquisition method consists of reviewing the primary energy sources and other goods required for each technology and their depence on external supply.</t>
  </si>
  <si>
    <t xml:space="preserve">The assessment of the external supply risks includes assessing the value chain of primary energy carrier and other energy system asset goods (e.g. batteries) not locally available. </t>
  </si>
  <si>
    <t>The availability of several forms of energy greatly depend on the site considered for a project. Such variations are observed at various scales. They can be a decisive argument in deciding if a technology is relevant or not in a given context.</t>
  </si>
  <si>
    <t>Ranking</t>
  </si>
  <si>
    <t>Ranking
1 = not significant
2 = significant</t>
  </si>
  <si>
    <t>Ranking1 to 3 (1 = not favourable to 3 = highly favourable)</t>
  </si>
  <si>
    <t>Data are obtained from natural resources database for each context.</t>
  </si>
  <si>
    <t>DOE/National Renewable Energy Laboratory. (2013, August 6). Land-use requirements of solar. ScienceDaily. Retrieved February 19, 2023 from www.sciencedaily.com/releases/2013/08/130806145537.htm</t>
  </si>
  <si>
    <t xml:space="preserve">You can manually indicate "corrected" values depending on quality of the information. By default, the value refers to the average. </t>
  </si>
  <si>
    <t xml:space="preserve">Local data can be obtained at demonstation sites by air quality measurement or phonometer for air pollution and noise pollution respectively. </t>
  </si>
  <si>
    <t>Estimation from ENERGICA experts</t>
  </si>
  <si>
    <t>The data can be interpolated using an existing technology and empirical equations. Until data is available, a qualitative indication will be used.</t>
  </si>
  <si>
    <t>Reber et al. 2018</t>
  </si>
  <si>
    <t>Scale on 1-5 (1 = very unsafe to 5 = very safe)</t>
  </si>
  <si>
    <t>Presentation of this template's sheets</t>
  </si>
  <si>
    <t>Introduction</t>
  </si>
  <si>
    <t>projects@ceacc.tu-berlin.de</t>
  </si>
  <si>
    <t>Methodological background</t>
  </si>
  <si>
    <t>Multi-criteria decision analysis tool for energy system evaluation and planning</t>
  </si>
  <si>
    <t xml:space="preserve">Steps to use the Tool </t>
  </si>
  <si>
    <t>Include or exclude indicators for the analysis by indicating "Y" (inclusion) or "N" (exclusion)</t>
  </si>
  <si>
    <t xml:space="preserve">  Technologies to be compared in Madagascar</t>
  </si>
  <si>
    <t>Results</t>
  </si>
  <si>
    <t>Choose predefined weights to be applied via drop down or apply individual weights entering any value under row "Custom"</t>
  </si>
  <si>
    <t>NEW ENTRY</t>
  </si>
  <si>
    <t xml:space="preserve">You can manually indicate "corrected" values that differ from the collected data, e.g. to adjust according to the quality of the information. By default, the analysis includes the average values. </t>
  </si>
  <si>
    <t>You can add remarks to indicate specificities of the data source (e.g. geographic scope)</t>
  </si>
  <si>
    <t>Include data and choose from "Y" or "N" to include or exclude the data for the analysis</t>
  </si>
  <si>
    <t>Description of the relevance to assess the indicator.</t>
  </si>
  <si>
    <t>Background information of the indicator.</t>
  </si>
  <si>
    <t xml:space="preserve">Description of data acquisition strategy and sources. </t>
  </si>
  <si>
    <t xml:space="preserve">E.g. data refers to residential supply only. </t>
  </si>
  <si>
    <t>Anarobic digester and CHP</t>
  </si>
  <si>
    <t>PV</t>
  </si>
  <si>
    <t>Anaerobic digester</t>
  </si>
  <si>
    <t>Anaerobic digester &amp; CHP</t>
  </si>
  <si>
    <t>TWT Site specififcation document(TWT Site specififcation document. 75m^2 footprint. 126kWh production per day)</t>
  </si>
  <si>
    <t xml:space="preserve">Kohler SDMO - Diesel 6000 E Silence UK </t>
  </si>
  <si>
    <t>Noise Emission report from CHP power unit XRGI 6</t>
  </si>
  <si>
    <t>Kohler SDMO - Diesel 6000 E Silence UK (92 decibles (dB))</t>
  </si>
  <si>
    <t xml:space="preserve"> https://www.researchgate.net/publication/354272249_Environmental_Impact_of_Solar_Home_Systems_in_Sub-Saharan_Africa</t>
  </si>
  <si>
    <t>https://energyeducation.ca/encyclopedia/Diesel_generator#:~:text=Diesel%20generators%20produce%20carbon%20dioxide%20%28CO2%29%2C%20nitrogen%20oxide,carbon%20dioxide%20released%20per%20liter%20of%20diesel%20fuel.</t>
  </si>
  <si>
    <t>Only Co2</t>
  </si>
  <si>
    <t>400k Euros. 460,869 kwh generated over 10 years.</t>
  </si>
  <si>
    <t>Key-informant interviews</t>
  </si>
  <si>
    <t>Power Purchase Term Sheet between FWT and its Off-takers</t>
  </si>
  <si>
    <t>https://greenminigrid.afdb.org/sites/default/files/sierra_leone_gmg_final_report.pdf</t>
  </si>
  <si>
    <t>Mini-grid market opportunity assessment in Sierra Leone</t>
  </si>
  <si>
    <t>EDSA increases tariff, AZ multi media cooperation</t>
  </si>
  <si>
    <t>FWTs O&amp;M monitoring</t>
  </si>
  <si>
    <t>Key informant interviews</t>
  </si>
  <si>
    <t>Market study</t>
  </si>
  <si>
    <t xml:space="preserve">FWT target job creation for its 40 waste transformer installations across Sierra Leone. </t>
  </si>
  <si>
    <t>number of jobs</t>
  </si>
  <si>
    <t>https://www.ecpower.eu/files/ec-power/customer/EN/Downloads_EN/Information_Material/EC_POWER_EN_technical_data_XRGI6.pdf</t>
  </si>
  <si>
    <t xml:space="preserve">https://doi.org/10.1051/e3sconf/20184900012 </t>
  </si>
  <si>
    <t xml:space="preserve">saule &amp;Glenn,2017 sustainability 2017,9,372; doi:10.3390/su9030372 </t>
  </si>
  <si>
    <t>The government is committed to scaling the adoption of renewable energy technologies, to boost national generation capacity to meet existing demand. The government has committed to its efforts with the RE Policy of Sierra Leone.</t>
  </si>
  <si>
    <t>FWT market research</t>
  </si>
  <si>
    <t xml:space="preserve">You can manually manipulate the values included in this table and reset to the values referenced within the respective indicator sheets by clicking "reset" in column B (left) </t>
  </si>
  <si>
    <t>Integrate data and choose from "Y" or "N" to automatically include or exclude the data value for the analysis. Data indicated with "N" will not be considered in calculations of the ranking.</t>
  </si>
  <si>
    <t>THIS IS AN EXAMPLE HOW TO INTEGRATE DATA IN EACH INDICATOR SHEET</t>
  </si>
  <si>
    <t>NAME: EXAMPLE</t>
  </si>
  <si>
    <t>Example: Economic</t>
  </si>
  <si>
    <t>Example: Price performance</t>
  </si>
  <si>
    <t>Example: Quantitative</t>
  </si>
  <si>
    <t>Example: €/kW</t>
  </si>
  <si>
    <r>
      <t xml:space="preserve">Definition of the indicator. </t>
    </r>
    <r>
      <rPr>
        <i/>
        <sz val="10"/>
        <color rgb="FFFF0000"/>
        <rFont val="Liberation Sans"/>
      </rPr>
      <t xml:space="preserve">The instruction provided below apply to any other indicator. </t>
    </r>
  </si>
  <si>
    <t>Visual representation of the data collected.</t>
  </si>
  <si>
    <r>
      <rPr>
        <sz val="10"/>
        <color rgb="FF0070C0"/>
        <rFont val="Arial"/>
        <family val="2"/>
      </rPr>
      <t xml:space="preserve">STEP 1: </t>
    </r>
    <r>
      <rPr>
        <sz val="10"/>
        <rFont val="Arial"/>
        <family val="2"/>
      </rPr>
      <t xml:space="preserve">In sheet "Criteria", choose the indicators to be included in the MCDA analysis by following the instructions highlighted in </t>
    </r>
    <r>
      <rPr>
        <b/>
        <sz val="10"/>
        <rFont val="Arial"/>
        <family val="2"/>
      </rPr>
      <t xml:space="preserve">turquoise fillings with red font color </t>
    </r>
    <r>
      <rPr>
        <sz val="10"/>
        <rFont val="Arial"/>
        <family val="2"/>
      </rPr>
      <t xml:space="preserve">see example here: </t>
    </r>
    <r>
      <rPr>
        <sz val="10"/>
        <color rgb="FF000000"/>
        <rFont val="Arial"/>
        <family val="2"/>
      </rPr>
      <t xml:space="preserve">
</t>
    </r>
    <r>
      <rPr>
        <sz val="10"/>
        <color rgb="FFFF0000"/>
        <rFont val="Arial"/>
        <family val="2"/>
      </rPr>
      <t xml:space="preserve">STEP 2: </t>
    </r>
    <r>
      <rPr>
        <sz val="10"/>
        <color rgb="FF000000"/>
        <rFont val="Arial"/>
        <family val="2"/>
      </rPr>
      <t xml:space="preserve">In sheet "Weighting", choose from the predefined weighting options (equal weights, specific dimensions, other) or apply individual weights to the indicators following the instructions indicated in </t>
    </r>
    <r>
      <rPr>
        <b/>
        <sz val="10"/>
        <color rgb="FF000000"/>
        <rFont val="Arial"/>
        <family val="2"/>
      </rPr>
      <t>turquoise fillings with red font color</t>
    </r>
    <r>
      <rPr>
        <sz val="10"/>
        <color rgb="FF000000"/>
        <rFont val="Arial"/>
        <family val="2"/>
      </rPr>
      <t xml:space="preserve">. For applying individual weights, </t>
    </r>
    <r>
      <rPr>
        <sz val="10"/>
        <color rgb="FFFF0000"/>
        <rFont val="Arial"/>
        <family val="2"/>
      </rPr>
      <t>only modify the values provided under "Custom"</t>
    </r>
    <r>
      <rPr>
        <sz val="10"/>
        <color rgb="FF000000"/>
        <rFont val="Arial"/>
        <family val="2"/>
      </rPr>
      <t xml:space="preserve"> (line 14). Per default, equal weights are applied to all indicators. You can see weights applied for each pre-defined scenario by unhiding rows 5-14. 
</t>
    </r>
    <r>
      <rPr>
        <sz val="10"/>
        <color rgb="FFFF0000"/>
        <rFont val="Arial"/>
        <family val="2"/>
      </rPr>
      <t>STEP 4:</t>
    </r>
    <r>
      <rPr>
        <sz val="10"/>
        <color rgb="FF000000"/>
        <rFont val="Arial"/>
        <family val="2"/>
      </rPr>
      <t xml:space="preserve"> In sheet "Weighting", you can manually include values differing from the underlying data collected under the respective indicator sheets by following the instructions indicated in </t>
    </r>
    <r>
      <rPr>
        <b/>
        <sz val="10"/>
        <color rgb="FF000000"/>
        <rFont val="Arial"/>
        <family val="2"/>
      </rPr>
      <t>turquoise fillings with red font color</t>
    </r>
    <r>
      <rPr>
        <sz val="10"/>
        <color rgb="FF000000"/>
        <rFont val="Arial"/>
        <family val="2"/>
      </rPr>
      <t xml:space="preserve">.
</t>
    </r>
    <r>
      <rPr>
        <sz val="10"/>
        <color rgb="FF7030A0"/>
        <rFont val="Arial"/>
        <family val="2"/>
      </rPr>
      <t xml:space="preserve">STEP 5: </t>
    </r>
    <r>
      <rPr>
        <sz val="10"/>
        <rFont val="Arial"/>
        <family val="2"/>
      </rPr>
      <t xml:space="preserve">Data integration: You can manually include data under each individual indicator sheet. You can collect new data from any source, and choose from the collected data which data to include in the calculation and ranking. Therefore, follow the instructions indicated in </t>
    </r>
    <r>
      <rPr>
        <b/>
        <sz val="10"/>
        <rFont val="Arial"/>
        <family val="2"/>
      </rPr>
      <t>turquoise fillings with red font color</t>
    </r>
    <r>
      <rPr>
        <sz val="10"/>
        <rFont val="Arial"/>
        <family val="2"/>
      </rPr>
      <t xml:space="preserve"> in the example tab sheet</t>
    </r>
    <r>
      <rPr>
        <sz val="10"/>
        <color rgb="FF7030A0"/>
        <rFont val="Arial"/>
        <family val="2"/>
      </rPr>
      <t xml:space="preserve"> "Indicator_example". </t>
    </r>
    <r>
      <rPr>
        <sz val="10"/>
        <rFont val="Arial"/>
        <family val="2"/>
      </rPr>
      <t xml:space="preserve">Please note that the MCDA calculations may require differeing values for the alternatives to compare within each indicator category. </t>
    </r>
  </si>
  <si>
    <t>CUSTOM EXAMPLE_I</t>
  </si>
  <si>
    <t>CUSTOM EXAMPLE_II</t>
  </si>
  <si>
    <t xml:space="preserve">The tool builds on an adjusted MCDA proces following the steps of i) formulation of alternatives, ii) criteria selection, iii) assigning criteria scores, iv) normalization, v) determination of weights applied, vi) MCDA ranking. The version May2023 applies min-max normalization to normilize original data to a utility value on a dimensionless scale of 0 and 1, while specifically capturing outliers. This implies that changing values for one alternative, the score of other alternatives might be influenced as well. Weights applied follow the rank-order approach and can be adjusted according to the user preferences. Elementary weighted sum is applied to establish the MCDA ranking. For further readings we refer to Wang et al., 2009. "Review on multi-criteria decision analysis aid in sustainable energy decision-making", Renewable and Sustainable Energy Reviews 13, 2263 - 2278. </t>
  </si>
  <si>
    <t>Scale 1 (low) to 2 (high)</t>
  </si>
  <si>
    <t>Scale 1 (low) to 5 (high)</t>
  </si>
  <si>
    <t>Scale 1 (low) to 3 (high)</t>
  </si>
  <si>
    <t>1: not dependent on locacion
2: very good potential
3: good potential
4: resource available
5: risky availability</t>
  </si>
  <si>
    <t>Ranking 1 to 5</t>
  </si>
  <si>
    <t>Check respective indicator for a detailed explanation of the scaling</t>
  </si>
  <si>
    <t>This multi-criteria decision analysis (MCDA) tool was developed within the ENERGICA project. This project has received funding from the European Union's Horizon 2020 research and innovation programme under grant agreement no. 101037428 (ENERGICA). This tool enables to evaluate alternatives (energy supply technologies for productive uses and residentials) amongst technical, economic, social, and environmental criteria. It allows to i) choose between criteria to compare alternatives within, ii) apply individual weights to the criteria, iii) flexible include or exclude data for the calculation and iv) integrate new data sources. The tool will be fed with data from local contexts in Madagascar through out the project duration (2021 - 2025).</t>
  </si>
  <si>
    <t>So far weighted sum integrated</t>
  </si>
  <si>
    <t xml:space="preserve">Two main results are displayed by default:
1. The ranking of alternatives based on the weighted arithmetic mean aggregation method. The higher the score of the alternative, the better it is compared to the other alternatives amongst all the criteria and dimensions of sustainability included in the analysis.
2. Number of criteria, in which the alternative ranks best (# Best) and worst (# Worst) compared to the other alternatives. 
The results are displayed on the right, and in the "Weighting" sheet. 
</t>
  </si>
  <si>
    <t>If you spot a mistake somewhere or have suggestions for improvements of the tool, please send us an e-mail at the following address: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</si>
</sst>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46">
    <font>
      <sz val="11"/>
      <color theme="1"/>
      <name val="Calibri"/>
      <family val="2"/>
      <scheme val="minor"/>
    </font>
    <font>
      <b/>
      <sz val="12"/>
      <color theme="1"/>
      <name val="Liberation Sans"/>
      <family val="2"/>
    </font>
    <font>
      <b/>
      <sz val="10"/>
      <color theme="1"/>
      <name val="Liberation Sans"/>
      <family val="2"/>
    </font>
    <font>
      <sz val="10"/>
      <color theme="1"/>
      <name val="Liberation Sans"/>
      <family val="2"/>
    </font>
    <font>
      <b/>
      <sz val="12"/>
      <color theme="0"/>
      <name val="Liberation Sans"/>
      <family val="2"/>
    </font>
    <font>
      <sz val="12"/>
      <color theme="0"/>
      <name val="Liberation Sans"/>
      <family val="2"/>
    </font>
    <font>
      <b/>
      <sz val="15"/>
      <color theme="0"/>
      <name val="Liberation Sans"/>
      <family val="2"/>
    </font>
    <font>
      <sz val="11"/>
      <color theme="1"/>
      <name val="Calibri"/>
      <family val="2"/>
      <scheme val="minor"/>
    </font>
    <font>
      <b/>
      <sz val="10"/>
      <color theme="0"/>
      <name val="Liberation Sans"/>
      <family val="2"/>
    </font>
    <font>
      <sz val="10"/>
      <color rgb="FFFF0000"/>
      <name val="Liberation Sans"/>
      <family val="2"/>
    </font>
    <font>
      <i/>
      <sz val="10"/>
      <color rgb="FFFF0000"/>
      <name val="Liberation Sans"/>
      <family val="2"/>
    </font>
    <font>
      <sz val="8"/>
      <color theme="1"/>
      <name val="Liberation Sans"/>
      <family val="2"/>
    </font>
    <font>
      <u/>
      <sz val="11"/>
      <color theme="10"/>
      <name val="Calibri"/>
      <family val="2"/>
      <scheme val="minor"/>
    </font>
    <font>
      <b/>
      <u/>
      <sz val="10"/>
      <color theme="10"/>
      <name val="Liberation Sans"/>
      <family val="2"/>
    </font>
    <font>
      <sz val="11"/>
      <color theme="1"/>
      <name val="Liberation Sans"/>
      <family val="2"/>
    </font>
    <font>
      <b/>
      <sz val="11"/>
      <color theme="1"/>
      <name val="Liberation Sans"/>
      <family val="2"/>
    </font>
    <font>
      <b/>
      <sz val="11"/>
      <color theme="0"/>
      <name val="Liberation Sans"/>
      <family val="2"/>
    </font>
    <font>
      <b/>
      <i/>
      <sz val="11"/>
      <color theme="1"/>
      <name val="Liberation Sans"/>
      <family val="2"/>
    </font>
    <font>
      <i/>
      <sz val="11"/>
      <color theme="1"/>
      <name val="Liberation Sans"/>
      <family val="2"/>
    </font>
    <font>
      <sz val="11"/>
      <color theme="2"/>
      <name val="Liberation Sans"/>
      <family val="2"/>
    </font>
    <font>
      <sz val="9"/>
      <color theme="1"/>
      <name val="Liberation Sans"/>
      <family val="2"/>
    </font>
    <font>
      <b/>
      <sz val="20"/>
      <color theme="0"/>
      <name val="Liberation Sans"/>
      <family val="2"/>
    </font>
    <font>
      <sz val="8"/>
      <name val="Calibri"/>
      <family val="2"/>
      <scheme val="minor"/>
    </font>
    <font>
      <i/>
      <sz val="10"/>
      <color theme="1"/>
      <name val="Liberation Sans"/>
    </font>
    <font>
      <b/>
      <u/>
      <sz val="11"/>
      <color theme="10"/>
      <name val="Calibri"/>
      <family val="2"/>
      <scheme val="minor"/>
    </font>
    <font>
      <sz val="10"/>
      <color theme="1"/>
      <name val="Liberation Sans"/>
    </font>
    <font>
      <sz val="10"/>
      <name val="Liberation Sans"/>
    </font>
    <font>
      <sz val="9"/>
      <color indexed="81"/>
      <name val="Tahoma"/>
      <family val="2"/>
    </font>
    <font>
      <b/>
      <sz val="9"/>
      <color indexed="81"/>
      <name val="Tahoma"/>
      <family val="2"/>
    </font>
    <font>
      <sz val="11"/>
      <color rgb="FF006100"/>
      <name val="Calibri"/>
      <family val="2"/>
      <scheme val="minor"/>
    </font>
    <font>
      <sz val="11"/>
      <color rgb="FFFF0000"/>
      <name val="Calibri"/>
      <family val="2"/>
      <scheme val="minor"/>
    </font>
    <font>
      <b/>
      <sz val="10"/>
      <color rgb="FFFFFFFF"/>
      <name val="Arial"/>
      <family val="2"/>
    </font>
    <font>
      <sz val="10"/>
      <color rgb="FF000000"/>
      <name val="Arial"/>
      <family val="2"/>
    </font>
    <font>
      <sz val="10"/>
      <name val="Arial"/>
      <family val="2"/>
    </font>
    <font>
      <sz val="22"/>
      <color theme="1"/>
      <name val="Calibri"/>
      <family val="2"/>
      <scheme val="minor"/>
    </font>
    <font>
      <i/>
      <sz val="10"/>
      <color rgb="FFFF0000"/>
      <name val="Liberation Sans"/>
    </font>
    <font>
      <b/>
      <sz val="10"/>
      <name val="Arial"/>
      <family val="2"/>
    </font>
    <font>
      <b/>
      <sz val="10"/>
      <color rgb="FF000000"/>
      <name val="Arial"/>
      <family val="2"/>
    </font>
    <font>
      <sz val="11"/>
      <color rgb="FFFF0000"/>
      <name val="Liberation Sans"/>
      <family val="2"/>
    </font>
    <font>
      <sz val="10"/>
      <color rgb="FFFF0000"/>
      <name val="Liberation Sans"/>
    </font>
    <font>
      <i/>
      <sz val="11"/>
      <color rgb="FFFF0000"/>
      <name val="Liberation Sans"/>
    </font>
    <font>
      <sz val="10"/>
      <color rgb="FF0070C0"/>
      <name val="Arial"/>
      <family val="2"/>
    </font>
    <font>
      <sz val="10"/>
      <color rgb="FFFF0000"/>
      <name val="Arial"/>
      <family val="2"/>
    </font>
    <font>
      <sz val="10"/>
      <color rgb="FF7030A0"/>
      <name val="Arial"/>
      <family val="2"/>
    </font>
    <font>
      <i/>
      <sz val="10"/>
      <name val="Liberation Sans"/>
    </font>
    <font>
      <sz val="11"/>
      <color rgb="FFFF0000"/>
      <name val="Liberation Sans"/>
    </font>
  </fonts>
  <fills count="29">
    <fill>
      <patternFill patternType="none"/>
    </fill>
    <fill>
      <patternFill patternType="gray125"/>
    </fill>
    <fill>
      <patternFill patternType="solid">
        <fgColor theme="1"/>
        <bgColor indexed="64"/>
      </patternFill>
    </fill>
    <fill>
      <patternFill patternType="solid">
        <fgColor theme="9"/>
        <bgColor indexed="64"/>
      </patternFill>
    </fill>
    <fill>
      <patternFill patternType="solid">
        <fgColor rgb="FFFFFF00"/>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7"/>
        <bgColor indexed="64"/>
      </patternFill>
    </fill>
    <fill>
      <patternFill patternType="solid">
        <fgColor rgb="FFC00000"/>
        <bgColor indexed="64"/>
      </patternFill>
    </fill>
    <fill>
      <patternFill patternType="solid">
        <fgColor theme="2" tint="-0.499984740745262"/>
        <bgColor indexed="64"/>
      </patternFill>
    </fill>
    <fill>
      <patternFill patternType="solid">
        <fgColor theme="2"/>
        <bgColor indexed="64"/>
      </patternFill>
    </fill>
    <fill>
      <patternFill patternType="solid">
        <fgColor rgb="FFFFC000"/>
        <bgColor indexed="64"/>
      </patternFill>
    </fill>
    <fill>
      <patternFill patternType="solid">
        <fgColor rgb="FF92D050"/>
        <bgColor indexed="64"/>
      </patternFill>
    </fill>
    <fill>
      <patternFill patternType="solid">
        <fgColor theme="5" tint="-0.249977111117893"/>
        <bgColor indexed="64"/>
      </patternFill>
    </fill>
    <fill>
      <patternFill patternType="solid">
        <fgColor theme="5"/>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theme="0"/>
        <bgColor indexed="64"/>
      </patternFill>
    </fill>
    <fill>
      <patternFill patternType="solid">
        <fgColor rgb="FFFF0000"/>
        <bgColor indexed="64"/>
      </patternFill>
    </fill>
    <fill>
      <patternFill patternType="solid">
        <fgColor rgb="FF00FFFF"/>
        <bgColor indexed="64"/>
      </patternFill>
    </fill>
    <fill>
      <patternFill patternType="solid">
        <fgColor rgb="FFC6EFCE"/>
      </patternFill>
    </fill>
    <fill>
      <patternFill patternType="solid">
        <fgColor rgb="FFED7D31"/>
        <bgColor rgb="FF000000"/>
      </patternFill>
    </fill>
    <fill>
      <patternFill patternType="solid">
        <fgColor rgb="FFFCE4D6"/>
        <bgColor rgb="FF000000"/>
      </patternFill>
    </fill>
    <fill>
      <patternFill patternType="solid">
        <fgColor rgb="FFFFFFFF"/>
        <bgColor rgb="FF000000"/>
      </patternFill>
    </fill>
    <fill>
      <patternFill patternType="solid">
        <fgColor rgb="FF00B050"/>
        <bgColor indexed="64"/>
      </patternFill>
    </fill>
  </fills>
  <borders count="4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diagonal/>
    </border>
    <border>
      <left/>
      <right style="medium">
        <color indexed="64"/>
      </right>
      <top style="thin">
        <color indexed="64"/>
      </top>
      <bottom/>
      <diagonal/>
    </border>
    <border>
      <left/>
      <right/>
      <top style="thin">
        <color theme="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rgb="FF000000"/>
      </right>
      <top/>
      <bottom style="thin">
        <color rgb="FF000000"/>
      </bottom>
      <diagonal/>
    </border>
    <border>
      <left/>
      <right style="medium">
        <color rgb="FF000000"/>
      </right>
      <top style="thin">
        <color rgb="FF000000"/>
      </top>
      <bottom style="medium">
        <color rgb="FF000000"/>
      </bottom>
      <diagonal/>
    </border>
  </borders>
  <cellStyleXfs count="4">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9" fillId="24" borderId="0" applyNumberFormat="0" applyBorder="0" applyAlignment="0" applyProtection="0"/>
  </cellStyleXfs>
  <cellXfs count="406">
    <xf numFmtId="0" fontId="0" fillId="0" borderId="0" xfId="0"/>
    <xf numFmtId="0" fontId="2" fillId="0" borderId="0" xfId="0" applyFont="1" applyAlignment="1">
      <alignment vertical="center" wrapText="1"/>
    </xf>
    <xf numFmtId="0" fontId="3" fillId="0" borderId="0" xfId="0" applyFont="1" applyAlignment="1">
      <alignment vertical="center" wrapText="1"/>
    </xf>
    <xf numFmtId="0" fontId="3"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left" vertical="center" wrapText="1"/>
    </xf>
    <xf numFmtId="0" fontId="2" fillId="0" borderId="0" xfId="0" applyFont="1" applyAlignment="1">
      <alignment horizontal="left" vertical="center" wrapText="1"/>
    </xf>
    <xf numFmtId="0" fontId="3" fillId="0" borderId="6"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8" fillId="2" borderId="12" xfId="0" applyFont="1" applyFill="1" applyBorder="1" applyAlignment="1">
      <alignment horizontal="center" vertical="center" wrapText="1"/>
    </xf>
    <xf numFmtId="0" fontId="8" fillId="10" borderId="1" xfId="0" applyFont="1" applyFill="1" applyBorder="1" applyAlignment="1">
      <alignment horizontal="center" vertical="center" wrapText="1"/>
    </xf>
    <xf numFmtId="0" fontId="3" fillId="9" borderId="13" xfId="0" applyFont="1" applyFill="1" applyBorder="1" applyAlignment="1">
      <alignment vertical="center" wrapText="1"/>
    </xf>
    <xf numFmtId="0" fontId="3" fillId="9" borderId="14" xfId="0" applyFont="1" applyFill="1" applyBorder="1" applyAlignment="1">
      <alignment vertical="center" wrapText="1"/>
    </xf>
    <xf numFmtId="0" fontId="2" fillId="7" borderId="2" xfId="0" applyFont="1" applyFill="1" applyBorder="1" applyAlignment="1">
      <alignment vertical="center" wrapText="1"/>
    </xf>
    <xf numFmtId="0" fontId="2" fillId="7" borderId="5" xfId="0" applyFont="1" applyFill="1" applyBorder="1" applyAlignment="1">
      <alignment vertical="center" wrapText="1"/>
    </xf>
    <xf numFmtId="0" fontId="2" fillId="7" borderId="7" xfId="0" applyFont="1" applyFill="1" applyBorder="1" applyAlignment="1">
      <alignment vertical="center" wrapText="1"/>
    </xf>
    <xf numFmtId="0" fontId="2" fillId="7" borderId="13" xfId="0" applyFont="1" applyFill="1" applyBorder="1" applyAlignment="1">
      <alignment vertical="center" wrapText="1"/>
    </xf>
    <xf numFmtId="0" fontId="2" fillId="7" borderId="14" xfId="0" applyFont="1" applyFill="1" applyBorder="1" applyAlignment="1">
      <alignment vertical="center" wrapText="1"/>
    </xf>
    <xf numFmtId="0" fontId="2" fillId="7" borderId="1" xfId="0" applyFont="1" applyFill="1" applyBorder="1" applyAlignment="1">
      <alignment vertical="center" wrapText="1"/>
    </xf>
    <xf numFmtId="0" fontId="8" fillId="2" borderId="1" xfId="0" applyFont="1" applyFill="1" applyBorder="1" applyAlignment="1">
      <alignment horizontal="center" vertical="center" wrapText="1"/>
    </xf>
    <xf numFmtId="0" fontId="3" fillId="0" borderId="0" xfId="0" applyFont="1" applyAlignment="1">
      <alignment vertical="center"/>
    </xf>
    <xf numFmtId="0" fontId="2" fillId="0" borderId="0" xfId="0" applyFont="1" applyAlignment="1">
      <alignment vertical="center"/>
    </xf>
    <xf numFmtId="0" fontId="3" fillId="0" borderId="0" xfId="0" applyFont="1" applyAlignment="1">
      <alignment horizontal="center" vertical="center"/>
    </xf>
    <xf numFmtId="0" fontId="10" fillId="0" borderId="0" xfId="0" applyFont="1" applyAlignment="1">
      <alignment vertical="center"/>
    </xf>
    <xf numFmtId="0" fontId="2" fillId="0" borderId="13" xfId="0" applyFont="1" applyBorder="1" applyAlignment="1">
      <alignment horizontal="center" vertical="center"/>
    </xf>
    <xf numFmtId="0" fontId="3" fillId="0" borderId="14" xfId="0" applyFont="1" applyBorder="1" applyAlignment="1">
      <alignment horizontal="center" vertical="center"/>
    </xf>
    <xf numFmtId="0" fontId="3" fillId="0" borderId="15" xfId="0" applyFont="1" applyBorder="1" applyAlignment="1">
      <alignment horizontal="center" vertical="center"/>
    </xf>
    <xf numFmtId="0" fontId="3" fillId="0" borderId="3" xfId="0" applyFont="1" applyBorder="1" applyAlignment="1">
      <alignment vertical="center"/>
    </xf>
    <xf numFmtId="0" fontId="3" fillId="0" borderId="13" xfId="0" applyFont="1" applyBorder="1" applyAlignment="1">
      <alignment horizontal="center" vertical="center"/>
    </xf>
    <xf numFmtId="0" fontId="13" fillId="0" borderId="14" xfId="2" applyFont="1" applyBorder="1" applyAlignment="1">
      <alignment horizontal="center" vertical="center"/>
    </xf>
    <xf numFmtId="0" fontId="11" fillId="6" borderId="6" xfId="0" applyFont="1" applyFill="1" applyBorder="1" applyAlignment="1">
      <alignment horizontal="center" vertical="center" wrapText="1"/>
    </xf>
    <xf numFmtId="0" fontId="3" fillId="14" borderId="0" xfId="0" applyFont="1" applyFill="1" applyAlignment="1">
      <alignment horizontal="center" vertical="center" wrapText="1"/>
    </xf>
    <xf numFmtId="0" fontId="11" fillId="0" borderId="0" xfId="0" applyFont="1" applyAlignment="1">
      <alignment vertical="center" wrapText="1"/>
    </xf>
    <xf numFmtId="0" fontId="11" fillId="0" borderId="0" xfId="0" applyFont="1" applyAlignment="1">
      <alignment vertical="center"/>
    </xf>
    <xf numFmtId="1" fontId="3" fillId="0" borderId="0" xfId="0" applyNumberFormat="1" applyFont="1" applyAlignment="1">
      <alignment horizontal="center" vertical="center" wrapText="1"/>
    </xf>
    <xf numFmtId="2" fontId="3" fillId="0" borderId="0" xfId="0" applyNumberFormat="1" applyFont="1" applyAlignment="1">
      <alignment horizontal="center" vertical="center" wrapText="1"/>
    </xf>
    <xf numFmtId="0" fontId="8" fillId="2" borderId="11" xfId="0" applyFont="1" applyFill="1" applyBorder="1" applyAlignment="1">
      <alignment horizontal="center" vertical="center" wrapText="1"/>
    </xf>
    <xf numFmtId="0" fontId="3" fillId="0" borderId="9" xfId="0" applyFont="1" applyBorder="1" applyAlignment="1">
      <alignment horizontal="center" vertical="center" wrapText="1"/>
    </xf>
    <xf numFmtId="0" fontId="2" fillId="16" borderId="14" xfId="0" applyFont="1" applyFill="1" applyBorder="1" applyAlignment="1">
      <alignment horizontal="center" vertical="center"/>
    </xf>
    <xf numFmtId="0" fontId="2" fillId="11" borderId="14" xfId="0" applyFont="1" applyFill="1" applyBorder="1" applyAlignment="1">
      <alignment horizontal="center" vertical="center"/>
    </xf>
    <xf numFmtId="0" fontId="2" fillId="7" borderId="14" xfId="0" applyFont="1" applyFill="1" applyBorder="1" applyAlignment="1">
      <alignment horizontal="center" vertical="center"/>
    </xf>
    <xf numFmtId="0" fontId="2" fillId="7" borderId="15" xfId="0" applyFont="1" applyFill="1" applyBorder="1" applyAlignment="1">
      <alignment horizontal="center" vertical="center"/>
    </xf>
    <xf numFmtId="0" fontId="13" fillId="0" borderId="13" xfId="2" applyFont="1" applyBorder="1" applyAlignment="1">
      <alignment horizontal="center" vertical="center"/>
    </xf>
    <xf numFmtId="0" fontId="2" fillId="16" borderId="13" xfId="0" applyFont="1" applyFill="1" applyBorder="1" applyAlignment="1">
      <alignment horizontal="center" vertical="center"/>
    </xf>
    <xf numFmtId="0" fontId="2" fillId="11" borderId="13" xfId="0" applyFont="1" applyFill="1" applyBorder="1" applyAlignment="1">
      <alignment horizontal="center" vertical="center"/>
    </xf>
    <xf numFmtId="0" fontId="9" fillId="0" borderId="0" xfId="0" applyFont="1" applyAlignment="1">
      <alignment vertical="center" wrapText="1"/>
    </xf>
    <xf numFmtId="164" fontId="3" fillId="0" borderId="0" xfId="0" applyNumberFormat="1" applyFont="1" applyAlignment="1">
      <alignment horizontal="center" vertical="center" wrapText="1"/>
    </xf>
    <xf numFmtId="0" fontId="14" fillId="0" borderId="0" xfId="0" applyFont="1" applyAlignment="1">
      <alignment vertical="center"/>
    </xf>
    <xf numFmtId="0" fontId="14" fillId="0" borderId="5" xfId="0" applyFont="1" applyBorder="1" applyAlignment="1">
      <alignment horizontal="center" vertical="center"/>
    </xf>
    <xf numFmtId="0" fontId="15" fillId="3" borderId="10" xfId="0" applyFont="1" applyFill="1" applyBorder="1" applyAlignment="1">
      <alignment horizontal="center" vertical="center"/>
    </xf>
    <xf numFmtId="0" fontId="15" fillId="3" borderId="11" xfId="0" applyFont="1" applyFill="1" applyBorder="1" applyAlignment="1">
      <alignment horizontal="center" vertical="center"/>
    </xf>
    <xf numFmtId="0" fontId="15" fillId="11" borderId="10" xfId="0" applyFont="1" applyFill="1" applyBorder="1" applyAlignment="1">
      <alignment horizontal="center" vertical="center"/>
    </xf>
    <xf numFmtId="0" fontId="15" fillId="11" borderId="11" xfId="0" applyFont="1" applyFill="1" applyBorder="1" applyAlignment="1">
      <alignment horizontal="center" vertical="center"/>
    </xf>
    <xf numFmtId="0" fontId="15" fillId="11" borderId="12" xfId="0" applyFont="1" applyFill="1" applyBorder="1" applyAlignment="1">
      <alignment horizontal="center" vertical="center"/>
    </xf>
    <xf numFmtId="0" fontId="16" fillId="12" borderId="11" xfId="0" applyFont="1" applyFill="1" applyBorder="1" applyAlignment="1">
      <alignment horizontal="center" vertical="center"/>
    </xf>
    <xf numFmtId="0" fontId="16" fillId="13" borderId="10" xfId="0" applyFont="1" applyFill="1" applyBorder="1" applyAlignment="1">
      <alignment horizontal="center" vertical="center"/>
    </xf>
    <xf numFmtId="0" fontId="16" fillId="13" borderId="11" xfId="0" applyFont="1" applyFill="1" applyBorder="1" applyAlignment="1">
      <alignment horizontal="center" vertical="center"/>
    </xf>
    <xf numFmtId="0" fontId="14" fillId="0" borderId="14" xfId="0" applyFont="1" applyBorder="1" applyAlignment="1">
      <alignment horizontal="center" vertical="center"/>
    </xf>
    <xf numFmtId="0" fontId="14" fillId="0" borderId="15" xfId="0" applyFont="1" applyBorder="1" applyAlignment="1">
      <alignment horizontal="center" vertical="center"/>
    </xf>
    <xf numFmtId="0" fontId="16" fillId="2" borderId="1" xfId="0" applyFont="1" applyFill="1" applyBorder="1" applyAlignment="1">
      <alignment horizontal="center" vertical="center" wrapText="1"/>
    </xf>
    <xf numFmtId="0" fontId="16" fillId="2" borderId="1" xfId="0" applyFont="1" applyFill="1" applyBorder="1" applyAlignment="1">
      <alignment horizontal="center" vertical="center"/>
    </xf>
    <xf numFmtId="1" fontId="14" fillId="0" borderId="14" xfId="0" applyNumberFormat="1" applyFont="1" applyBorder="1" applyAlignment="1">
      <alignment horizontal="center" vertical="center"/>
    </xf>
    <xf numFmtId="1" fontId="14" fillId="0" borderId="15" xfId="0" applyNumberFormat="1" applyFont="1" applyBorder="1" applyAlignment="1">
      <alignment horizontal="center" vertical="center"/>
    </xf>
    <xf numFmtId="0" fontId="4" fillId="2" borderId="1" xfId="0" applyFont="1" applyFill="1" applyBorder="1" applyAlignment="1">
      <alignment horizontal="center" vertical="center"/>
    </xf>
    <xf numFmtId="0" fontId="14" fillId="0" borderId="13" xfId="0" applyFont="1" applyBorder="1" applyAlignment="1">
      <alignment vertical="center"/>
    </xf>
    <xf numFmtId="0" fontId="14" fillId="0" borderId="14" xfId="0" applyFont="1" applyBorder="1" applyAlignment="1">
      <alignment vertical="center"/>
    </xf>
    <xf numFmtId="0" fontId="14" fillId="0" borderId="1" xfId="0" applyFont="1" applyBorder="1" applyAlignment="1">
      <alignment vertical="center"/>
    </xf>
    <xf numFmtId="0" fontId="14" fillId="0" borderId="11" xfId="0" applyFont="1" applyBorder="1" applyAlignment="1">
      <alignment vertical="center"/>
    </xf>
    <xf numFmtId="0" fontId="14" fillId="0" borderId="11" xfId="0" applyFont="1" applyBorder="1" applyAlignment="1">
      <alignment horizontal="center" vertical="center"/>
    </xf>
    <xf numFmtId="0" fontId="14" fillId="0" borderId="10" xfId="0" applyFont="1" applyBorder="1" applyAlignment="1">
      <alignment horizontal="center" vertical="center"/>
    </xf>
    <xf numFmtId="0" fontId="14" fillId="0" borderId="12" xfId="0" applyFont="1" applyBorder="1" applyAlignment="1">
      <alignment horizontal="center" vertical="center"/>
    </xf>
    <xf numFmtId="2" fontId="14" fillId="0" borderId="10" xfId="0" applyNumberFormat="1" applyFont="1" applyBorder="1" applyAlignment="1">
      <alignment horizontal="center" vertical="center"/>
    </xf>
    <xf numFmtId="1" fontId="14" fillId="0" borderId="11" xfId="0" applyNumberFormat="1" applyFont="1" applyBorder="1" applyAlignment="1">
      <alignment horizontal="center" vertical="center"/>
    </xf>
    <xf numFmtId="2" fontId="14" fillId="0" borderId="12" xfId="0" applyNumberFormat="1" applyFont="1" applyBorder="1" applyAlignment="1">
      <alignment horizontal="center" vertical="center"/>
    </xf>
    <xf numFmtId="9" fontId="14" fillId="0" borderId="11" xfId="0" applyNumberFormat="1" applyFont="1" applyBorder="1" applyAlignment="1">
      <alignment horizontal="center" vertical="center"/>
    </xf>
    <xf numFmtId="9" fontId="14" fillId="0" borderId="10" xfId="0" applyNumberFormat="1" applyFont="1" applyBorder="1" applyAlignment="1">
      <alignment horizontal="center" vertical="center"/>
    </xf>
    <xf numFmtId="1" fontId="14" fillId="0" borderId="12" xfId="0" applyNumberFormat="1" applyFont="1" applyBorder="1" applyAlignment="1">
      <alignment horizontal="center" vertical="center"/>
    </xf>
    <xf numFmtId="0" fontId="15" fillId="19" borderId="7" xfId="0" applyFont="1" applyFill="1" applyBorder="1" applyAlignment="1">
      <alignment horizontal="center" vertical="center"/>
    </xf>
    <xf numFmtId="0" fontId="15" fillId="19" borderId="8" xfId="0" applyFont="1" applyFill="1" applyBorder="1" applyAlignment="1">
      <alignment horizontal="center" vertical="center"/>
    </xf>
    <xf numFmtId="0" fontId="15" fillId="19" borderId="9" xfId="0" applyFont="1" applyFill="1" applyBorder="1" applyAlignment="1">
      <alignment horizontal="center" vertical="center"/>
    </xf>
    <xf numFmtId="0" fontId="17" fillId="19" borderId="1" xfId="0" applyFont="1" applyFill="1" applyBorder="1" applyAlignment="1">
      <alignment horizontal="center" vertical="center"/>
    </xf>
    <xf numFmtId="0" fontId="15" fillId="0" borderId="0" xfId="0" applyFont="1" applyAlignment="1">
      <alignment horizontal="right" vertical="center"/>
    </xf>
    <xf numFmtId="1" fontId="14" fillId="0" borderId="0" xfId="0" applyNumberFormat="1" applyFont="1" applyAlignment="1">
      <alignment horizontal="center" vertical="center"/>
    </xf>
    <xf numFmtId="9" fontId="14" fillId="0" borderId="0" xfId="0" applyNumberFormat="1" applyFont="1" applyAlignment="1">
      <alignment horizontal="center" vertical="center"/>
    </xf>
    <xf numFmtId="0" fontId="19" fillId="20" borderId="2" xfId="0" applyFont="1" applyFill="1" applyBorder="1" applyAlignment="1">
      <alignment horizontal="center" vertical="center"/>
    </xf>
    <xf numFmtId="0" fontId="19" fillId="20" borderId="3" xfId="0" applyFont="1" applyFill="1" applyBorder="1" applyAlignment="1">
      <alignment horizontal="center" vertical="center"/>
    </xf>
    <xf numFmtId="2" fontId="19" fillId="20" borderId="2" xfId="0" applyNumberFormat="1" applyFont="1" applyFill="1" applyBorder="1" applyAlignment="1">
      <alignment horizontal="center" vertical="center"/>
    </xf>
    <xf numFmtId="1" fontId="19" fillId="20" borderId="3" xfId="0" applyNumberFormat="1" applyFont="1" applyFill="1" applyBorder="1" applyAlignment="1">
      <alignment horizontal="center" vertical="center"/>
    </xf>
    <xf numFmtId="9" fontId="19" fillId="20" borderId="3" xfId="0" applyNumberFormat="1" applyFont="1" applyFill="1" applyBorder="1" applyAlignment="1">
      <alignment horizontal="center" vertical="center"/>
    </xf>
    <xf numFmtId="1" fontId="19" fillId="20" borderId="4" xfId="0" applyNumberFormat="1" applyFont="1" applyFill="1" applyBorder="1" applyAlignment="1">
      <alignment horizontal="center" vertical="center"/>
    </xf>
    <xf numFmtId="0" fontId="19" fillId="20" borderId="10" xfId="0" applyFont="1" applyFill="1" applyBorder="1" applyAlignment="1">
      <alignment horizontal="center" vertical="center"/>
    </xf>
    <xf numFmtId="0" fontId="19" fillId="20" borderId="5" xfId="0" applyFont="1" applyFill="1" applyBorder="1" applyAlignment="1">
      <alignment horizontal="center" vertical="center"/>
    </xf>
    <xf numFmtId="1" fontId="19" fillId="20" borderId="11" xfId="0" applyNumberFormat="1" applyFont="1" applyFill="1" applyBorder="1" applyAlignment="1">
      <alignment horizontal="center" vertical="center"/>
    </xf>
    <xf numFmtId="1" fontId="14" fillId="0" borderId="6" xfId="0" applyNumberFormat="1" applyFont="1" applyBorder="1" applyAlignment="1">
      <alignment horizontal="center" vertical="center"/>
    </xf>
    <xf numFmtId="1" fontId="14" fillId="0" borderId="8" xfId="0" applyNumberFormat="1" applyFont="1" applyBorder="1" applyAlignment="1">
      <alignment horizontal="center" vertical="center"/>
    </xf>
    <xf numFmtId="9" fontId="14" fillId="0" borderId="8" xfId="0" applyNumberFormat="1" applyFont="1" applyBorder="1" applyAlignment="1">
      <alignment horizontal="center" vertical="center"/>
    </xf>
    <xf numFmtId="2" fontId="14" fillId="0" borderId="5" xfId="0" applyNumberFormat="1" applyFont="1" applyBorder="1" applyAlignment="1">
      <alignment horizontal="center" vertical="center"/>
    </xf>
    <xf numFmtId="2" fontId="14" fillId="0" borderId="6" xfId="0" applyNumberFormat="1" applyFont="1" applyBorder="1" applyAlignment="1">
      <alignment horizontal="center" vertical="center"/>
    </xf>
    <xf numFmtId="2" fontId="14" fillId="0" borderId="7" xfId="0" applyNumberFormat="1" applyFont="1" applyBorder="1" applyAlignment="1">
      <alignment horizontal="center" vertical="center"/>
    </xf>
    <xf numFmtId="2" fontId="14" fillId="0" borderId="9" xfId="0" applyNumberFormat="1" applyFont="1" applyBorder="1" applyAlignment="1">
      <alignment horizontal="center" vertical="center"/>
    </xf>
    <xf numFmtId="9" fontId="14" fillId="0" borderId="5" xfId="0" applyNumberFormat="1" applyFont="1" applyBorder="1" applyAlignment="1">
      <alignment horizontal="center" vertical="center"/>
    </xf>
    <xf numFmtId="9" fontId="14" fillId="0" borderId="7" xfId="0" applyNumberFormat="1" applyFont="1" applyBorder="1" applyAlignment="1">
      <alignment horizontal="center" vertical="center"/>
    </xf>
    <xf numFmtId="0" fontId="14" fillId="0" borderId="0" xfId="0" applyFont="1" applyAlignment="1">
      <alignment horizontal="center" vertical="center"/>
    </xf>
    <xf numFmtId="1" fontId="3" fillId="0" borderId="1" xfId="0" applyNumberFormat="1" applyFont="1" applyBorder="1" applyAlignment="1">
      <alignment horizontal="center" vertical="center" wrapText="1"/>
    </xf>
    <xf numFmtId="1" fontId="3" fillId="0" borderId="31" xfId="0" applyNumberFormat="1" applyFont="1" applyBorder="1" applyAlignment="1">
      <alignment horizontal="center" vertical="center" wrapText="1"/>
    </xf>
    <xf numFmtId="0" fontId="3" fillId="14" borderId="31" xfId="0" applyFont="1" applyFill="1" applyBorder="1" applyAlignment="1">
      <alignment horizontal="center" vertical="center" wrapText="1"/>
    </xf>
    <xf numFmtId="0" fontId="3" fillId="0" borderId="31" xfId="0" applyFont="1" applyBorder="1" applyAlignment="1">
      <alignment horizontal="center" vertical="center" wrapText="1"/>
    </xf>
    <xf numFmtId="0" fontId="2" fillId="7" borderId="15" xfId="0" applyFont="1" applyFill="1" applyBorder="1" applyAlignment="1">
      <alignment vertical="center" wrapText="1"/>
    </xf>
    <xf numFmtId="0" fontId="19" fillId="20" borderId="11" xfId="0" applyFont="1" applyFill="1" applyBorder="1" applyAlignment="1">
      <alignment horizontal="center" vertical="center"/>
    </xf>
    <xf numFmtId="0" fontId="3" fillId="9" borderId="13" xfId="0" applyFont="1" applyFill="1" applyBorder="1" applyAlignment="1">
      <alignment horizontal="center" vertical="center" wrapText="1"/>
    </xf>
    <xf numFmtId="0" fontId="3" fillId="9" borderId="14" xfId="0" applyFont="1" applyFill="1" applyBorder="1" applyAlignment="1">
      <alignment horizontal="center" vertical="center" wrapText="1"/>
    </xf>
    <xf numFmtId="0" fontId="3" fillId="0" borderId="8" xfId="0" applyFont="1" applyBorder="1" applyAlignment="1">
      <alignment horizontal="center" vertical="center" wrapText="1"/>
    </xf>
    <xf numFmtId="0" fontId="18" fillId="0" borderId="0" xfId="0" applyFont="1" applyAlignment="1">
      <alignment horizontal="center" vertical="center" textRotation="90" wrapText="1"/>
    </xf>
    <xf numFmtId="0" fontId="14" fillId="0" borderId="6" xfId="0" applyFont="1" applyBorder="1" applyAlignment="1">
      <alignment horizontal="center" vertical="center"/>
    </xf>
    <xf numFmtId="0" fontId="14" fillId="0" borderId="8" xfId="0" applyFont="1" applyBorder="1" applyAlignment="1">
      <alignment horizontal="center" vertical="center"/>
    </xf>
    <xf numFmtId="0" fontId="16" fillId="2" borderId="12" xfId="0" applyFont="1" applyFill="1" applyBorder="1" applyAlignment="1">
      <alignment horizontal="center" vertical="center"/>
    </xf>
    <xf numFmtId="2" fontId="14" fillId="0" borderId="11" xfId="0" applyNumberFormat="1" applyFont="1" applyBorder="1" applyAlignment="1">
      <alignment horizontal="center" vertical="center"/>
    </xf>
    <xf numFmtId="0" fontId="2" fillId="11" borderId="1" xfId="0" applyFont="1" applyFill="1" applyBorder="1" applyAlignment="1">
      <alignment horizontal="center" vertical="center"/>
    </xf>
    <xf numFmtId="0" fontId="2" fillId="11" borderId="11" xfId="0" applyFont="1" applyFill="1" applyBorder="1" applyAlignment="1">
      <alignment vertical="center"/>
    </xf>
    <xf numFmtId="0" fontId="2" fillId="11" borderId="3" xfId="0" applyFont="1" applyFill="1" applyBorder="1" applyAlignment="1">
      <alignment vertical="center"/>
    </xf>
    <xf numFmtId="0" fontId="2" fillId="11" borderId="22" xfId="0" applyFont="1" applyFill="1" applyBorder="1" applyAlignment="1">
      <alignment vertical="center" wrapText="1"/>
    </xf>
    <xf numFmtId="0" fontId="2" fillId="11" borderId="23" xfId="0" applyFont="1" applyFill="1" applyBorder="1" applyAlignment="1">
      <alignment vertical="center" wrapText="1"/>
    </xf>
    <xf numFmtId="0" fontId="2" fillId="11" borderId="24" xfId="0" applyFont="1" applyFill="1" applyBorder="1" applyAlignment="1">
      <alignment vertical="center" wrapText="1"/>
    </xf>
    <xf numFmtId="0" fontId="3" fillId="11" borderId="22" xfId="0" applyFont="1" applyFill="1" applyBorder="1" applyAlignment="1">
      <alignment horizontal="left" vertical="center" wrapText="1"/>
    </xf>
    <xf numFmtId="0" fontId="2" fillId="11" borderId="22" xfId="0" applyFont="1" applyFill="1" applyBorder="1" applyAlignment="1">
      <alignment horizontal="left" vertical="center" wrapText="1"/>
    </xf>
    <xf numFmtId="0" fontId="23" fillId="9" borderId="13" xfId="0" applyFont="1" applyFill="1" applyBorder="1" applyAlignment="1">
      <alignment horizontal="center" vertical="center" wrapText="1"/>
    </xf>
    <xf numFmtId="0" fontId="14" fillId="9" borderId="2" xfId="0" applyFont="1" applyFill="1" applyBorder="1" applyAlignment="1">
      <alignment vertical="center"/>
    </xf>
    <xf numFmtId="0" fontId="14" fillId="9" borderId="10" xfId="0" applyFont="1" applyFill="1" applyBorder="1" applyAlignment="1">
      <alignment vertical="center"/>
    </xf>
    <xf numFmtId="0" fontId="14" fillId="9" borderId="5" xfId="0" applyFont="1" applyFill="1" applyBorder="1" applyAlignment="1">
      <alignment vertical="center"/>
    </xf>
    <xf numFmtId="0" fontId="3" fillId="11" borderId="1" xfId="0" applyFont="1" applyFill="1" applyBorder="1" applyAlignment="1">
      <alignment horizontal="left" vertical="center" wrapText="1"/>
    </xf>
    <xf numFmtId="0" fontId="2" fillId="11" borderId="25" xfId="0" applyFont="1" applyFill="1" applyBorder="1" applyAlignment="1">
      <alignment vertical="center" wrapText="1"/>
    </xf>
    <xf numFmtId="0" fontId="0" fillId="0" borderId="33" xfId="0" applyBorder="1"/>
    <xf numFmtId="0" fontId="3" fillId="21" borderId="0" xfId="0" applyFont="1" applyFill="1" applyAlignment="1">
      <alignment vertical="center" wrapText="1"/>
    </xf>
    <xf numFmtId="0" fontId="2" fillId="15" borderId="22" xfId="0" applyFont="1" applyFill="1" applyBorder="1" applyAlignment="1">
      <alignment vertical="center" wrapText="1"/>
    </xf>
    <xf numFmtId="0" fontId="2" fillId="15" borderId="23" xfId="0" applyFont="1" applyFill="1" applyBorder="1" applyAlignment="1">
      <alignment vertical="center" wrapText="1"/>
    </xf>
    <xf numFmtId="0" fontId="2" fillId="15" borderId="24" xfId="0" applyFont="1" applyFill="1" applyBorder="1" applyAlignment="1">
      <alignment vertical="center" wrapText="1"/>
    </xf>
    <xf numFmtId="0" fontId="3" fillId="4" borderId="0" xfId="0" applyFont="1" applyFill="1" applyAlignment="1">
      <alignment horizontal="center" vertical="center" wrapText="1"/>
    </xf>
    <xf numFmtId="0" fontId="2" fillId="17" borderId="14" xfId="0" applyFont="1" applyFill="1" applyBorder="1" applyAlignment="1">
      <alignment horizontal="center" vertical="center"/>
    </xf>
    <xf numFmtId="0" fontId="3" fillId="0" borderId="10" xfId="0" applyFont="1" applyBorder="1" applyAlignment="1">
      <alignment vertical="center"/>
    </xf>
    <xf numFmtId="0" fontId="3" fillId="0" borderId="11" xfId="0" applyFont="1" applyBorder="1" applyAlignment="1">
      <alignment vertical="center"/>
    </xf>
    <xf numFmtId="0" fontId="2" fillId="17" borderId="15" xfId="0" applyFont="1" applyFill="1" applyBorder="1" applyAlignment="1">
      <alignment horizontal="center" vertical="center"/>
    </xf>
    <xf numFmtId="0" fontId="24" fillId="0" borderId="14" xfId="2" applyFont="1" applyBorder="1" applyAlignment="1">
      <alignment horizontal="center" vertical="center"/>
    </xf>
    <xf numFmtId="0" fontId="24" fillId="0" borderId="13" xfId="2" applyFont="1" applyBorder="1" applyAlignment="1">
      <alignment horizontal="center" vertical="center"/>
    </xf>
    <xf numFmtId="0" fontId="24" fillId="0" borderId="15" xfId="2" applyFont="1" applyBorder="1" applyAlignment="1">
      <alignment horizontal="center" vertical="center"/>
    </xf>
    <xf numFmtId="0" fontId="2" fillId="12" borderId="5" xfId="0" applyFont="1" applyFill="1" applyBorder="1" applyAlignment="1">
      <alignment horizontal="center" vertical="center"/>
    </xf>
    <xf numFmtId="0" fontId="2" fillId="0" borderId="0" xfId="0" applyFont="1" applyAlignment="1">
      <alignment horizontal="center" vertical="center"/>
    </xf>
    <xf numFmtId="0" fontId="16" fillId="13" borderId="12" xfId="0" applyFont="1" applyFill="1" applyBorder="1" applyAlignment="1">
      <alignment horizontal="center" vertical="center"/>
    </xf>
    <xf numFmtId="0" fontId="15" fillId="19" borderId="6" xfId="0" applyFont="1" applyFill="1" applyBorder="1" applyAlignment="1">
      <alignment horizontal="center" vertical="center"/>
    </xf>
    <xf numFmtId="1" fontId="19" fillId="20" borderId="10" xfId="0" applyNumberFormat="1" applyFont="1" applyFill="1" applyBorder="1" applyAlignment="1">
      <alignment horizontal="center" vertical="center"/>
    </xf>
    <xf numFmtId="1" fontId="19" fillId="20" borderId="12" xfId="0" applyNumberFormat="1" applyFont="1" applyFill="1" applyBorder="1" applyAlignment="1">
      <alignment horizontal="center" vertical="center"/>
    </xf>
    <xf numFmtId="1" fontId="14" fillId="0" borderId="10" xfId="0" applyNumberFormat="1" applyFont="1" applyBorder="1" applyAlignment="1">
      <alignment horizontal="center" vertical="center"/>
    </xf>
    <xf numFmtId="0" fontId="16" fillId="17" borderId="11" xfId="0" applyFont="1" applyFill="1" applyBorder="1" applyAlignment="1">
      <alignment horizontal="center" vertical="center"/>
    </xf>
    <xf numFmtId="0" fontId="16" fillId="17" borderId="10" xfId="0" applyFont="1" applyFill="1" applyBorder="1" applyAlignment="1">
      <alignment horizontal="center" vertical="center"/>
    </xf>
    <xf numFmtId="0" fontId="16" fillId="17" borderId="12" xfId="0" applyFont="1" applyFill="1" applyBorder="1" applyAlignment="1">
      <alignment horizontal="center" vertical="center"/>
    </xf>
    <xf numFmtId="0" fontId="14" fillId="0" borderId="9" xfId="0" applyFont="1" applyBorder="1" applyAlignment="1">
      <alignment horizontal="center" vertical="center"/>
    </xf>
    <xf numFmtId="0" fontId="3" fillId="0" borderId="6" xfId="0" applyFont="1" applyBorder="1" applyAlignment="1">
      <alignment horizontal="center" vertical="center"/>
    </xf>
    <xf numFmtId="0" fontId="2" fillId="12" borderId="2" xfId="0" applyFont="1" applyFill="1" applyBorder="1" applyAlignment="1">
      <alignment horizontal="center" vertical="center"/>
    </xf>
    <xf numFmtId="0" fontId="3" fillId="0" borderId="4" xfId="0" applyFont="1" applyBorder="1" applyAlignment="1">
      <alignment horizontal="center" vertical="center"/>
    </xf>
    <xf numFmtId="0" fontId="3" fillId="0" borderId="9" xfId="0" applyFont="1" applyBorder="1" applyAlignment="1">
      <alignment horizontal="center" vertical="center"/>
    </xf>
    <xf numFmtId="0" fontId="4" fillId="0" borderId="0" xfId="0" applyFont="1" applyAlignment="1">
      <alignment vertical="center"/>
    </xf>
    <xf numFmtId="0" fontId="23" fillId="23" borderId="0" xfId="0" applyFont="1" applyFill="1" applyAlignment="1">
      <alignment vertical="center"/>
    </xf>
    <xf numFmtId="0" fontId="14" fillId="0" borderId="4" xfId="0" applyFont="1" applyBorder="1" applyAlignment="1">
      <alignment horizontal="center" vertical="center"/>
    </xf>
    <xf numFmtId="0" fontId="2" fillId="0" borderId="1" xfId="0" applyFont="1" applyBorder="1" applyAlignment="1">
      <alignment horizontal="center" vertical="center"/>
    </xf>
    <xf numFmtId="0" fontId="3" fillId="0" borderId="1" xfId="0" applyFont="1" applyBorder="1" applyAlignment="1">
      <alignment horizontal="center" vertical="center"/>
    </xf>
    <xf numFmtId="2" fontId="3" fillId="0" borderId="4" xfId="0" applyNumberFormat="1" applyFont="1" applyBorder="1" applyAlignment="1">
      <alignment horizontal="center" vertical="center" wrapText="1"/>
    </xf>
    <xf numFmtId="2" fontId="3" fillId="0" borderId="6" xfId="0" applyNumberFormat="1" applyFont="1" applyBorder="1" applyAlignment="1">
      <alignment horizontal="center" vertical="center" wrapText="1"/>
    </xf>
    <xf numFmtId="2" fontId="3" fillId="0" borderId="12" xfId="0" applyNumberFormat="1" applyFont="1" applyBorder="1" applyAlignment="1">
      <alignment horizontal="center" vertical="center" wrapText="1"/>
    </xf>
    <xf numFmtId="2" fontId="2" fillId="8" borderId="12" xfId="0" applyNumberFormat="1" applyFont="1" applyFill="1" applyBorder="1" applyAlignment="1">
      <alignment horizontal="center" vertical="center" wrapText="1"/>
    </xf>
    <xf numFmtId="1" fontId="3" fillId="14" borderId="0" xfId="0" applyNumberFormat="1" applyFont="1" applyFill="1" applyAlignment="1">
      <alignment horizontal="center" vertical="center" wrapText="1"/>
    </xf>
    <xf numFmtId="1" fontId="3" fillId="0" borderId="6" xfId="0" applyNumberFormat="1" applyFont="1" applyBorder="1" applyAlignment="1">
      <alignment horizontal="center" vertical="center" wrapText="1"/>
    </xf>
    <xf numFmtId="1" fontId="3" fillId="0" borderId="4" xfId="0" applyNumberFormat="1" applyFont="1" applyBorder="1" applyAlignment="1">
      <alignment horizontal="center" vertical="center" wrapText="1"/>
    </xf>
    <xf numFmtId="1" fontId="3" fillId="0" borderId="9" xfId="0" applyNumberFormat="1" applyFont="1" applyBorder="1" applyAlignment="1">
      <alignment horizontal="center" vertical="center" wrapText="1"/>
    </xf>
    <xf numFmtId="1" fontId="3" fillId="0" borderId="12" xfId="0" applyNumberFormat="1" applyFont="1" applyBorder="1" applyAlignment="1">
      <alignment horizontal="center" vertical="center" wrapText="1"/>
    </xf>
    <xf numFmtId="1" fontId="2" fillId="8" borderId="12" xfId="0" applyNumberFormat="1" applyFont="1" applyFill="1" applyBorder="1" applyAlignment="1">
      <alignment horizontal="center" vertical="center" wrapText="1"/>
    </xf>
    <xf numFmtId="1" fontId="2" fillId="8" borderId="9" xfId="0" applyNumberFormat="1" applyFont="1" applyFill="1" applyBorder="1" applyAlignment="1">
      <alignment horizontal="center" vertical="center" wrapText="1"/>
    </xf>
    <xf numFmtId="0" fontId="3" fillId="0" borderId="32" xfId="0" applyFont="1" applyBorder="1" applyAlignment="1">
      <alignment horizontal="center" vertical="center" wrapText="1"/>
    </xf>
    <xf numFmtId="0" fontId="3" fillId="0" borderId="32" xfId="0" applyFont="1" applyBorder="1" applyAlignment="1">
      <alignment vertical="center" wrapText="1"/>
    </xf>
    <xf numFmtId="0" fontId="2" fillId="8" borderId="12" xfId="0" applyFont="1" applyFill="1" applyBorder="1" applyAlignment="1">
      <alignment horizontal="center" vertical="center" wrapText="1"/>
    </xf>
    <xf numFmtId="1" fontId="3" fillId="0" borderId="13" xfId="0" applyNumberFormat="1" applyFont="1" applyBorder="1" applyAlignment="1">
      <alignment horizontal="center" vertical="center" wrapText="1"/>
    </xf>
    <xf numFmtId="9" fontId="2" fillId="8" borderId="12" xfId="0" applyNumberFormat="1" applyFont="1" applyFill="1" applyBorder="1" applyAlignment="1">
      <alignment horizontal="center" vertical="center" wrapText="1"/>
    </xf>
    <xf numFmtId="165" fontId="3" fillId="0" borderId="0" xfId="0" applyNumberFormat="1" applyFont="1" applyAlignment="1">
      <alignment horizontal="center" vertical="center" wrapText="1"/>
    </xf>
    <xf numFmtId="165" fontId="3" fillId="14" borderId="0" xfId="0" applyNumberFormat="1" applyFont="1" applyFill="1" applyAlignment="1">
      <alignment horizontal="center" vertical="center" wrapText="1"/>
    </xf>
    <xf numFmtId="165" fontId="3" fillId="0" borderId="6" xfId="0" applyNumberFormat="1" applyFont="1" applyBorder="1" applyAlignment="1">
      <alignment horizontal="center" vertical="center" wrapText="1"/>
    </xf>
    <xf numFmtId="9" fontId="2" fillId="8" borderId="12" xfId="1" applyFont="1" applyFill="1" applyBorder="1" applyAlignment="1">
      <alignment horizontal="center" vertical="center" wrapText="1"/>
    </xf>
    <xf numFmtId="2" fontId="14" fillId="0" borderId="0" xfId="0" applyNumberFormat="1" applyFont="1" applyAlignment="1">
      <alignment horizontal="center" vertical="center"/>
    </xf>
    <xf numFmtId="2" fontId="14" fillId="0" borderId="8" xfId="0" applyNumberFormat="1" applyFont="1" applyBorder="1" applyAlignment="1">
      <alignment horizontal="center" vertical="center"/>
    </xf>
    <xf numFmtId="0" fontId="15" fillId="19" borderId="0" xfId="0" applyFont="1" applyFill="1" applyAlignment="1">
      <alignment horizontal="center" vertical="center"/>
    </xf>
    <xf numFmtId="2" fontId="19" fillId="20" borderId="0" xfId="0" applyNumberFormat="1" applyFont="1" applyFill="1" applyAlignment="1">
      <alignment horizontal="center" vertical="center"/>
    </xf>
    <xf numFmtId="0" fontId="15" fillId="19" borderId="5" xfId="0" applyFont="1" applyFill="1" applyBorder="1" applyAlignment="1">
      <alignment horizontal="center" vertical="center"/>
    </xf>
    <xf numFmtId="2" fontId="19" fillId="20" borderId="5" xfId="0" applyNumberFormat="1" applyFont="1" applyFill="1" applyBorder="1" applyAlignment="1">
      <alignment horizontal="center" vertical="center"/>
    </xf>
    <xf numFmtId="1" fontId="19" fillId="20" borderId="0" xfId="0" applyNumberFormat="1" applyFont="1" applyFill="1" applyAlignment="1">
      <alignment horizontal="center" vertical="center"/>
    </xf>
    <xf numFmtId="2" fontId="19" fillId="20" borderId="11" xfId="0" applyNumberFormat="1" applyFont="1" applyFill="1" applyBorder="1" applyAlignment="1">
      <alignment horizontal="center" vertical="center"/>
    </xf>
    <xf numFmtId="1" fontId="19" fillId="20" borderId="5" xfId="0" applyNumberFormat="1" applyFont="1" applyFill="1" applyBorder="1" applyAlignment="1">
      <alignment horizontal="center" vertical="center"/>
    </xf>
    <xf numFmtId="1" fontId="19" fillId="20" borderId="2" xfId="0" applyNumberFormat="1" applyFont="1" applyFill="1" applyBorder="1" applyAlignment="1">
      <alignment horizontal="center" vertical="center"/>
    </xf>
    <xf numFmtId="1" fontId="14" fillId="0" borderId="5" xfId="0" applyNumberFormat="1" applyFont="1" applyBorder="1" applyAlignment="1">
      <alignment horizontal="center" vertical="center"/>
    </xf>
    <xf numFmtId="1" fontId="14" fillId="0" borderId="13" xfId="0" applyNumberFormat="1" applyFont="1" applyBorder="1" applyAlignment="1">
      <alignment horizontal="center" vertical="center"/>
    </xf>
    <xf numFmtId="0" fontId="25" fillId="9" borderId="14" xfId="0" applyFont="1" applyFill="1" applyBorder="1" applyAlignment="1">
      <alignment horizontal="center" wrapText="1"/>
    </xf>
    <xf numFmtId="1" fontId="19" fillId="20" borderId="6" xfId="0" applyNumberFormat="1" applyFont="1" applyFill="1" applyBorder="1" applyAlignment="1">
      <alignment horizontal="center" vertical="center"/>
    </xf>
    <xf numFmtId="0" fontId="31" fillId="25" borderId="16" xfId="0" applyFont="1" applyFill="1" applyBorder="1"/>
    <xf numFmtId="0" fontId="31" fillId="25" borderId="16" xfId="0" applyFont="1" applyFill="1" applyBorder="1" applyAlignment="1">
      <alignment horizontal="center"/>
    </xf>
    <xf numFmtId="0" fontId="31" fillId="25" borderId="16" xfId="0" applyFont="1" applyFill="1" applyBorder="1" applyAlignment="1">
      <alignment horizontal="center" vertical="center"/>
    </xf>
    <xf numFmtId="0" fontId="32" fillId="26" borderId="16" xfId="0" applyFont="1" applyFill="1" applyBorder="1" applyAlignment="1">
      <alignment vertical="center" wrapText="1"/>
    </xf>
    <xf numFmtId="0" fontId="33" fillId="0" borderId="0" xfId="0" applyFont="1"/>
    <xf numFmtId="0" fontId="33" fillId="27" borderId="0" xfId="0" applyFont="1" applyFill="1"/>
    <xf numFmtId="0" fontId="33" fillId="27" borderId="0" xfId="0" applyFont="1" applyFill="1" applyAlignment="1">
      <alignment horizontal="center"/>
    </xf>
    <xf numFmtId="0" fontId="33" fillId="27" borderId="0" xfId="0" applyFont="1" applyFill="1" applyAlignment="1">
      <alignment horizontal="center" vertical="center" wrapText="1"/>
    </xf>
    <xf numFmtId="0" fontId="12" fillId="27" borderId="0" xfId="2" applyFill="1" applyAlignment="1">
      <alignment horizontal="center" vertical="center" wrapText="1"/>
    </xf>
    <xf numFmtId="0" fontId="34" fillId="0" borderId="0" xfId="0" applyFont="1"/>
    <xf numFmtId="0" fontId="32" fillId="26" borderId="16" xfId="0" applyFont="1" applyFill="1" applyBorder="1" applyAlignment="1">
      <alignment wrapText="1"/>
    </xf>
    <xf numFmtId="0" fontId="35" fillId="23" borderId="0" xfId="0" applyFont="1" applyFill="1" applyAlignment="1">
      <alignment vertical="center" wrapText="1"/>
    </xf>
    <xf numFmtId="0" fontId="16" fillId="15" borderId="1" xfId="0" applyFont="1" applyFill="1" applyBorder="1" applyAlignment="1">
      <alignment horizontal="center" vertical="center" wrapText="1"/>
    </xf>
    <xf numFmtId="0" fontId="16" fillId="28" borderId="1" xfId="0" applyFont="1" applyFill="1" applyBorder="1" applyAlignment="1">
      <alignment horizontal="center" vertical="center"/>
    </xf>
    <xf numFmtId="0" fontId="16" fillId="22" borderId="12" xfId="0" applyFont="1" applyFill="1" applyBorder="1" applyAlignment="1">
      <alignment horizontal="center" vertical="center"/>
    </xf>
    <xf numFmtId="1" fontId="14" fillId="0" borderId="9" xfId="0" applyNumberFormat="1" applyFont="1" applyBorder="1" applyAlignment="1">
      <alignment horizontal="center" vertical="center"/>
    </xf>
    <xf numFmtId="1" fontId="14" fillId="0" borderId="1" xfId="0" applyNumberFormat="1" applyFont="1" applyBorder="1" applyAlignment="1">
      <alignment horizontal="center" vertical="center"/>
    </xf>
    <xf numFmtId="0" fontId="0" fillId="0" borderId="8" xfId="0" applyBorder="1"/>
    <xf numFmtId="0" fontId="0" fillId="0" borderId="5" xfId="0" applyBorder="1"/>
    <xf numFmtId="0" fontId="0" fillId="0" borderId="6" xfId="0" applyBorder="1"/>
    <xf numFmtId="0" fontId="0" fillId="0" borderId="7" xfId="0" applyBorder="1"/>
    <xf numFmtId="0" fontId="0" fillId="0" borderId="9" xfId="0" applyBorder="1"/>
    <xf numFmtId="0" fontId="12" fillId="0" borderId="46" xfId="2" applyBorder="1"/>
    <xf numFmtId="0" fontId="29" fillId="0" borderId="47" xfId="3" applyFill="1" applyBorder="1" applyAlignment="1">
      <alignment wrapText="1"/>
    </xf>
    <xf numFmtId="0" fontId="23" fillId="0" borderId="46" xfId="0" applyFont="1" applyBorder="1" applyAlignment="1">
      <alignment horizontal="left" vertical="center" wrapText="1"/>
    </xf>
    <xf numFmtId="0" fontId="3" fillId="4" borderId="13" xfId="0" applyFont="1" applyFill="1" applyBorder="1" applyAlignment="1">
      <alignment horizontal="center" vertical="center" wrapText="1"/>
    </xf>
    <xf numFmtId="0" fontId="2" fillId="12" borderId="7" xfId="0" applyFont="1" applyFill="1" applyBorder="1" applyAlignment="1">
      <alignment horizontal="center" vertical="center"/>
    </xf>
    <xf numFmtId="0" fontId="14" fillId="0" borderId="0" xfId="0" applyFont="1" applyAlignment="1">
      <alignment horizontal="center" vertical="center" wrapText="1"/>
    </xf>
    <xf numFmtId="0" fontId="14" fillId="0" borderId="0" xfId="0" applyFont="1" applyAlignment="1">
      <alignment vertical="center" wrapText="1"/>
    </xf>
    <xf numFmtId="0" fontId="20" fillId="6" borderId="11" xfId="0" applyFont="1" applyFill="1" applyBorder="1" applyAlignment="1">
      <alignment horizontal="center" vertical="center" wrapText="1"/>
    </xf>
    <xf numFmtId="0" fontId="30" fillId="0" borderId="0" xfId="0" applyFont="1"/>
    <xf numFmtId="0" fontId="20" fillId="6" borderId="8" xfId="0" applyFont="1" applyFill="1" applyBorder="1" applyAlignment="1">
      <alignment horizontal="center" vertical="center" wrapText="1"/>
    </xf>
    <xf numFmtId="0" fontId="20" fillId="6" borderId="10" xfId="0" applyFont="1" applyFill="1" applyBorder="1" applyAlignment="1">
      <alignment horizontal="center" vertical="center" wrapText="1"/>
    </xf>
    <xf numFmtId="0" fontId="20" fillId="6" borderId="5" xfId="0" applyFont="1" applyFill="1" applyBorder="1" applyAlignment="1">
      <alignment horizontal="center" vertical="center" wrapText="1"/>
    </xf>
    <xf numFmtId="0" fontId="20" fillId="6" borderId="0" xfId="0" applyFont="1" applyFill="1" applyAlignment="1">
      <alignment horizontal="center" vertical="center" wrapText="1"/>
    </xf>
    <xf numFmtId="0" fontId="20" fillId="6" borderId="6" xfId="0" applyFont="1" applyFill="1" applyBorder="1" applyAlignment="1">
      <alignment horizontal="center" vertical="center" wrapText="1"/>
    </xf>
    <xf numFmtId="0" fontId="20" fillId="6" borderId="12"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3" fillId="21" borderId="0" xfId="0" applyFont="1" applyFill="1" applyAlignment="1">
      <alignment vertical="center"/>
    </xf>
    <xf numFmtId="0" fontId="31" fillId="25" borderId="2" xfId="0" applyFont="1" applyFill="1" applyBorder="1" applyAlignment="1">
      <alignment horizontal="center" vertical="center"/>
    </xf>
    <xf numFmtId="0" fontId="31" fillId="25" borderId="3" xfId="0" applyFont="1" applyFill="1" applyBorder="1" applyAlignment="1">
      <alignment horizontal="center" vertical="center"/>
    </xf>
    <xf numFmtId="0" fontId="31" fillId="25" borderId="4" xfId="0" applyFont="1" applyFill="1" applyBorder="1" applyAlignment="1">
      <alignment horizontal="center" vertical="center"/>
    </xf>
    <xf numFmtId="0" fontId="31" fillId="25" borderId="44" xfId="0" applyFont="1" applyFill="1" applyBorder="1" applyAlignment="1">
      <alignment horizontal="center" vertical="center"/>
    </xf>
    <xf numFmtId="0" fontId="31" fillId="25" borderId="45" xfId="0" applyFont="1" applyFill="1" applyBorder="1" applyAlignment="1">
      <alignment horizontal="center" vertical="center"/>
    </xf>
    <xf numFmtId="0" fontId="33" fillId="27" borderId="0" xfId="0" applyFont="1" applyFill="1"/>
    <xf numFmtId="0" fontId="16" fillId="0" borderId="8" xfId="0" applyFont="1" applyBorder="1" applyAlignment="1">
      <alignment horizontal="center" vertical="center"/>
    </xf>
    <xf numFmtId="0" fontId="14" fillId="5" borderId="2" xfId="0" applyFont="1" applyFill="1" applyBorder="1" applyAlignment="1">
      <alignment horizontal="center" vertical="center" wrapText="1"/>
    </xf>
    <xf numFmtId="0" fontId="14" fillId="5" borderId="3" xfId="0" applyFont="1" applyFill="1" applyBorder="1" applyAlignment="1">
      <alignment horizontal="center" vertical="center" wrapText="1"/>
    </xf>
    <xf numFmtId="0" fontId="14" fillId="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0" xfId="0" applyFont="1" applyFill="1" applyAlignment="1">
      <alignment horizontal="center" vertical="center" wrapText="1"/>
    </xf>
    <xf numFmtId="0" fontId="14" fillId="15" borderId="6" xfId="0" applyFont="1" applyFill="1" applyBorder="1" applyAlignment="1">
      <alignment horizontal="center" vertical="center" wrapText="1"/>
    </xf>
    <xf numFmtId="0" fontId="14" fillId="9" borderId="7" xfId="0" applyFont="1" applyFill="1" applyBorder="1" applyAlignment="1">
      <alignment horizontal="center" vertical="center" wrapText="1"/>
    </xf>
    <xf numFmtId="0" fontId="14" fillId="9" borderId="8" xfId="0" applyFont="1" applyFill="1" applyBorder="1" applyAlignment="1">
      <alignment horizontal="center" vertical="center" wrapText="1"/>
    </xf>
    <xf numFmtId="0" fontId="14" fillId="9" borderId="9" xfId="0" applyFont="1" applyFill="1" applyBorder="1" applyAlignment="1">
      <alignment horizontal="center" vertical="center" wrapText="1"/>
    </xf>
    <xf numFmtId="0" fontId="32" fillId="26" borderId="44" xfId="0" applyFont="1" applyFill="1" applyBorder="1" applyAlignment="1">
      <alignment horizontal="left" vertical="center" wrapText="1"/>
    </xf>
    <xf numFmtId="0" fontId="32" fillId="26" borderId="45" xfId="0" applyFont="1" applyFill="1" applyBorder="1" applyAlignment="1">
      <alignment horizontal="left" vertical="center" wrapText="1"/>
    </xf>
    <xf numFmtId="0" fontId="4" fillId="18" borderId="10" xfId="0" applyFont="1" applyFill="1" applyBorder="1" applyAlignment="1">
      <alignment horizontal="left" vertical="center"/>
    </xf>
    <xf numFmtId="0" fontId="4" fillId="18" borderId="11" xfId="0" applyFont="1" applyFill="1" applyBorder="1" applyAlignment="1">
      <alignment horizontal="left" vertical="center"/>
    </xf>
    <xf numFmtId="0" fontId="4" fillId="18" borderId="12" xfId="0" applyFont="1" applyFill="1" applyBorder="1" applyAlignment="1">
      <alignment horizontal="left" vertical="center"/>
    </xf>
    <xf numFmtId="0" fontId="9" fillId="0" borderId="0" xfId="0" applyFont="1" applyAlignment="1">
      <alignment horizontal="center" vertical="center"/>
    </xf>
    <xf numFmtId="0" fontId="40" fillId="23" borderId="3" xfId="0" applyFont="1" applyFill="1" applyBorder="1" applyAlignment="1">
      <alignment horizontal="left" wrapText="1"/>
    </xf>
    <xf numFmtId="0" fontId="40" fillId="23" borderId="0" xfId="0" applyFont="1" applyFill="1" applyAlignment="1">
      <alignment horizontal="left" wrapText="1"/>
    </xf>
    <xf numFmtId="0" fontId="18" fillId="0" borderId="0" xfId="0" applyFont="1" applyAlignment="1">
      <alignment horizontal="center" vertical="center" textRotation="90" wrapText="1"/>
    </xf>
    <xf numFmtId="0" fontId="14" fillId="0" borderId="0" xfId="0" applyFont="1" applyAlignment="1">
      <alignment horizontal="center" vertical="center"/>
    </xf>
    <xf numFmtId="0" fontId="38" fillId="23" borderId="0" xfId="0" applyFont="1" applyFill="1" applyAlignment="1">
      <alignment horizontal="left" wrapText="1"/>
    </xf>
    <xf numFmtId="0" fontId="21" fillId="18" borderId="5" xfId="0" applyFont="1" applyFill="1" applyBorder="1" applyAlignment="1">
      <alignment horizontal="center" vertical="center"/>
    </xf>
    <xf numFmtId="0" fontId="21" fillId="18" borderId="0" xfId="0" applyFont="1" applyFill="1" applyAlignment="1">
      <alignment horizontal="center" vertical="center"/>
    </xf>
    <xf numFmtId="0" fontId="16" fillId="2" borderId="10" xfId="0" applyFont="1" applyFill="1" applyBorder="1" applyAlignment="1">
      <alignment horizontal="center" vertical="center"/>
    </xf>
    <xf numFmtId="0" fontId="16" fillId="2" borderId="11" xfId="0" applyFont="1" applyFill="1" applyBorder="1" applyAlignment="1">
      <alignment horizontal="center" vertical="center"/>
    </xf>
    <xf numFmtId="0" fontId="16" fillId="2" borderId="12" xfId="0" applyFont="1" applyFill="1" applyBorder="1" applyAlignment="1">
      <alignment horizontal="center" vertical="center"/>
    </xf>
    <xf numFmtId="0" fontId="35" fillId="23" borderId="0" xfId="0" applyFont="1" applyFill="1" applyAlignment="1">
      <alignment horizontal="center" wrapText="1"/>
    </xf>
    <xf numFmtId="2" fontId="3" fillId="0" borderId="10" xfId="0" applyNumberFormat="1" applyFont="1" applyBorder="1" applyAlignment="1">
      <alignment horizontal="center" vertical="center" wrapText="1"/>
    </xf>
    <xf numFmtId="2" fontId="3" fillId="0" borderId="11" xfId="0" applyNumberFormat="1" applyFont="1" applyBorder="1" applyAlignment="1">
      <alignment horizontal="center" vertical="center" wrapText="1"/>
    </xf>
    <xf numFmtId="2" fontId="2" fillId="8" borderId="10" xfId="0" applyNumberFormat="1" applyFont="1" applyFill="1" applyBorder="1" applyAlignment="1">
      <alignment horizontal="center" vertical="center" wrapText="1"/>
    </xf>
    <xf numFmtId="2" fontId="2" fillId="8" borderId="11" xfId="0" applyNumberFormat="1" applyFont="1" applyFill="1" applyBorder="1" applyAlignment="1">
      <alignment horizontal="center" vertical="center" wrapText="1"/>
    </xf>
    <xf numFmtId="2" fontId="3" fillId="0" borderId="5" xfId="0" applyNumberFormat="1" applyFont="1" applyBorder="1" applyAlignment="1">
      <alignment horizontal="center" vertical="center" wrapText="1"/>
    </xf>
    <xf numFmtId="2" fontId="3" fillId="0" borderId="0" xfId="0" applyNumberFormat="1" applyFont="1" applyAlignment="1">
      <alignment horizontal="center" vertical="center" wrapText="1"/>
    </xf>
    <xf numFmtId="0" fontId="4" fillId="18" borderId="10" xfId="0" applyFont="1" applyFill="1" applyBorder="1" applyAlignment="1">
      <alignment horizontal="left" vertical="center" wrapText="1"/>
    </xf>
    <xf numFmtId="0" fontId="5" fillId="18" borderId="11" xfId="0" applyFont="1" applyFill="1" applyBorder="1" applyAlignment="1">
      <alignment horizontal="left" vertical="center" wrapText="1"/>
    </xf>
    <xf numFmtId="0" fontId="39" fillId="23" borderId="11" xfId="0" applyFont="1" applyFill="1" applyBorder="1" applyAlignment="1">
      <alignment horizontal="center" vertical="center" wrapText="1"/>
    </xf>
    <xf numFmtId="0" fontId="1" fillId="11" borderId="10" xfId="0" applyFont="1" applyFill="1" applyBorder="1" applyAlignment="1">
      <alignment horizontal="left" vertical="center" wrapText="1"/>
    </xf>
    <xf numFmtId="0" fontId="1" fillId="11" borderId="11" xfId="0" applyFont="1" applyFill="1" applyBorder="1" applyAlignment="1">
      <alignment horizontal="left" vertical="center" wrapText="1"/>
    </xf>
    <xf numFmtId="0" fontId="35" fillId="23" borderId="5" xfId="0" applyFont="1" applyFill="1" applyBorder="1" applyAlignment="1">
      <alignment horizontal="right" wrapText="1"/>
    </xf>
    <xf numFmtId="0" fontId="35" fillId="23" borderId="0" xfId="0" applyFont="1" applyFill="1" applyAlignment="1">
      <alignment horizontal="right" wrapText="1"/>
    </xf>
    <xf numFmtId="2" fontId="3" fillId="0" borderId="2" xfId="0" applyNumberFormat="1" applyFont="1" applyBorder="1" applyAlignment="1">
      <alignment horizontal="center" vertical="center" wrapText="1"/>
    </xf>
    <xf numFmtId="2" fontId="3" fillId="0" borderId="3" xfId="0" applyNumberFormat="1" applyFont="1" applyBorder="1" applyAlignment="1">
      <alignment horizontal="center" vertical="center" wrapText="1"/>
    </xf>
    <xf numFmtId="0" fontId="35" fillId="23" borderId="5" xfId="0" applyFont="1" applyFill="1" applyBorder="1" applyAlignment="1">
      <alignment horizontal="center" vertical="top" wrapText="1"/>
    </xf>
    <xf numFmtId="0" fontId="35" fillId="23" borderId="0" xfId="0" applyFont="1" applyFill="1" applyAlignment="1">
      <alignment horizontal="center" vertical="top" wrapText="1"/>
    </xf>
    <xf numFmtId="0" fontId="44" fillId="0" borderId="20" xfId="0" applyFont="1" applyBorder="1" applyAlignment="1">
      <alignment horizontal="left" vertical="center" wrapText="1"/>
    </xf>
    <xf numFmtId="0" fontId="44" fillId="0" borderId="16" xfId="0" applyFont="1" applyBorder="1" applyAlignment="1">
      <alignment horizontal="left" vertical="center" wrapText="1"/>
    </xf>
    <xf numFmtId="0" fontId="6" fillId="22" borderId="7" xfId="0" applyFont="1" applyFill="1" applyBorder="1" applyAlignment="1">
      <alignment horizontal="center" vertical="center" wrapText="1"/>
    </xf>
    <xf numFmtId="0" fontId="6" fillId="22" borderId="8" xfId="0" applyFont="1" applyFill="1" applyBorder="1" applyAlignment="1">
      <alignment horizontal="center" vertical="center" wrapText="1"/>
    </xf>
    <xf numFmtId="0" fontId="6" fillId="2" borderId="10"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23" fillId="0" borderId="19" xfId="0" applyFont="1" applyBorder="1" applyAlignment="1">
      <alignment horizontal="left" vertical="center" wrapText="1"/>
    </xf>
    <xf numFmtId="0" fontId="23" fillId="0" borderId="17" xfId="0" applyFont="1" applyBorder="1" applyAlignment="1">
      <alignment horizontal="left" vertical="center" wrapText="1"/>
    </xf>
    <xf numFmtId="0" fontId="23" fillId="0" borderId="20" xfId="0" applyFont="1" applyBorder="1" applyAlignment="1">
      <alignment horizontal="left" vertical="center" wrapText="1"/>
    </xf>
    <xf numFmtId="0" fontId="23" fillId="0" borderId="16" xfId="0" applyFont="1" applyBorder="1" applyAlignment="1">
      <alignment horizontal="left" vertical="center" wrapText="1"/>
    </xf>
    <xf numFmtId="0" fontId="23" fillId="0" borderId="21" xfId="0" applyFont="1" applyBorder="1" applyAlignment="1">
      <alignment horizontal="left" vertical="center" wrapText="1"/>
    </xf>
    <xf numFmtId="0" fontId="23" fillId="0" borderId="18" xfId="0" applyFont="1" applyBorder="1" applyAlignment="1">
      <alignment horizontal="left" vertical="center" wrapText="1"/>
    </xf>
    <xf numFmtId="0" fontId="4" fillId="18" borderId="2" xfId="0" applyFont="1" applyFill="1" applyBorder="1" applyAlignment="1">
      <alignment horizontal="left" vertical="center" wrapText="1"/>
    </xf>
    <xf numFmtId="0" fontId="4" fillId="18" borderId="3" xfId="0" applyFont="1" applyFill="1" applyBorder="1" applyAlignment="1">
      <alignment horizontal="left" vertical="center" wrapText="1"/>
    </xf>
    <xf numFmtId="0" fontId="8" fillId="2" borderId="3" xfId="0" applyFont="1" applyFill="1" applyBorder="1" applyAlignment="1">
      <alignment horizontal="center" vertical="center" wrapText="1"/>
    </xf>
    <xf numFmtId="164" fontId="2" fillId="8" borderId="7" xfId="0" applyNumberFormat="1" applyFont="1" applyFill="1" applyBorder="1" applyAlignment="1">
      <alignment horizontal="center" vertical="center" wrapText="1"/>
    </xf>
    <xf numFmtId="164" fontId="2" fillId="8" borderId="8" xfId="0" applyNumberFormat="1" applyFont="1" applyFill="1" applyBorder="1" applyAlignment="1">
      <alignment horizontal="center" vertical="center" wrapText="1"/>
    </xf>
    <xf numFmtId="0" fontId="3" fillId="0" borderId="3" xfId="0" applyFont="1" applyBorder="1" applyAlignment="1">
      <alignment horizontal="center" vertical="center" wrapText="1"/>
    </xf>
    <xf numFmtId="0" fontId="2" fillId="9" borderId="13" xfId="0" applyFont="1" applyFill="1" applyBorder="1" applyAlignment="1">
      <alignment horizontal="center" vertical="center" wrapText="1"/>
    </xf>
    <xf numFmtId="0" fontId="2" fillId="9" borderId="15" xfId="0" applyFont="1" applyFill="1" applyBorder="1" applyAlignment="1">
      <alignment horizontal="center" vertical="center" wrapText="1"/>
    </xf>
    <xf numFmtId="0" fontId="2" fillId="0" borderId="13" xfId="0" applyFont="1" applyBorder="1" applyAlignment="1">
      <alignment horizontal="center" vertical="center" wrapText="1"/>
    </xf>
    <xf numFmtId="0" fontId="2" fillId="0" borderId="15" xfId="0" applyFont="1" applyBorder="1" applyAlignment="1">
      <alignment horizontal="center" vertical="center" wrapText="1"/>
    </xf>
    <xf numFmtId="1" fontId="3" fillId="0" borderId="2" xfId="0" applyNumberFormat="1" applyFont="1" applyBorder="1" applyAlignment="1">
      <alignment horizontal="center" vertical="center" wrapText="1"/>
    </xf>
    <xf numFmtId="1" fontId="3" fillId="0" borderId="3" xfId="0" applyNumberFormat="1" applyFont="1" applyBorder="1" applyAlignment="1">
      <alignment horizontal="center" vertical="center" wrapText="1"/>
    </xf>
    <xf numFmtId="0" fontId="3" fillId="0" borderId="2" xfId="0" applyFont="1" applyBorder="1" applyAlignment="1">
      <alignment horizontal="center" vertical="center" wrapText="1"/>
    </xf>
    <xf numFmtId="9" fontId="3" fillId="0" borderId="2" xfId="0" applyNumberFormat="1" applyFont="1" applyBorder="1" applyAlignment="1">
      <alignment horizontal="center" vertical="center" wrapText="1"/>
    </xf>
    <xf numFmtId="0" fontId="4" fillId="18" borderId="5" xfId="0" applyFont="1" applyFill="1" applyBorder="1" applyAlignment="1">
      <alignment horizontal="center" vertical="center" wrapText="1"/>
    </xf>
    <xf numFmtId="0" fontId="4" fillId="18" borderId="0" xfId="0" applyFont="1" applyFill="1" applyAlignment="1">
      <alignment horizontal="center" vertical="center" wrapText="1"/>
    </xf>
    <xf numFmtId="0" fontId="1" fillId="11" borderId="7" xfId="0" applyFont="1" applyFill="1" applyBorder="1" applyAlignment="1">
      <alignment horizontal="center" vertical="center" wrapText="1"/>
    </xf>
    <xf numFmtId="0" fontId="1" fillId="11" borderId="8"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2" fillId="8" borderId="7" xfId="0" applyFont="1" applyFill="1" applyBorder="1" applyAlignment="1">
      <alignment horizontal="center" vertical="center" wrapText="1"/>
    </xf>
    <xf numFmtId="0" fontId="2" fillId="8" borderId="8" xfId="0" applyFont="1" applyFill="1" applyBorder="1" applyAlignment="1">
      <alignment horizontal="center" vertical="center" wrapText="1"/>
    </xf>
    <xf numFmtId="0" fontId="6" fillId="11" borderId="7" xfId="0" applyFont="1" applyFill="1" applyBorder="1" applyAlignment="1">
      <alignment horizontal="center" vertical="center" wrapText="1"/>
    </xf>
    <xf numFmtId="0" fontId="6" fillId="11" borderId="8" xfId="0" applyFont="1" applyFill="1" applyBorder="1" applyAlignment="1">
      <alignment horizontal="center" vertical="center" wrapText="1"/>
    </xf>
    <xf numFmtId="0" fontId="3" fillId="0" borderId="21" xfId="0" applyFont="1" applyBorder="1" applyAlignment="1">
      <alignment horizontal="left" vertical="center" wrapText="1"/>
    </xf>
    <xf numFmtId="0" fontId="3" fillId="0" borderId="18" xfId="0" applyFont="1" applyBorder="1" applyAlignment="1">
      <alignment horizontal="left" vertical="center" wrapText="1"/>
    </xf>
    <xf numFmtId="0" fontId="26" fillId="0" borderId="20" xfId="0" applyFont="1" applyBorder="1" applyAlignment="1">
      <alignment horizontal="left" vertical="center" wrapText="1"/>
    </xf>
    <xf numFmtId="0" fontId="26" fillId="0" borderId="16" xfId="0" applyFont="1" applyBorder="1" applyAlignment="1">
      <alignment horizontal="left" vertical="center" wrapText="1"/>
    </xf>
    <xf numFmtId="0" fontId="3" fillId="0" borderId="20" xfId="0" applyFont="1" applyBorder="1" applyAlignment="1">
      <alignment horizontal="left" vertical="center" wrapText="1"/>
    </xf>
    <xf numFmtId="0" fontId="3" fillId="0" borderId="16" xfId="0" applyFont="1" applyBorder="1" applyAlignment="1">
      <alignment horizontal="left" vertical="center" wrapText="1"/>
    </xf>
    <xf numFmtId="0" fontId="25" fillId="0" borderId="19" xfId="0" applyFont="1" applyBorder="1" applyAlignment="1">
      <alignment horizontal="left" vertical="center" wrapText="1"/>
    </xf>
    <xf numFmtId="0" fontId="25" fillId="0" borderId="17" xfId="0" applyFont="1" applyBorder="1" applyAlignment="1">
      <alignment horizontal="left" vertical="center" wrapText="1"/>
    </xf>
    <xf numFmtId="1" fontId="2" fillId="8" borderId="10" xfId="0" applyNumberFormat="1" applyFont="1" applyFill="1" applyBorder="1" applyAlignment="1">
      <alignment horizontal="center" vertical="center" wrapText="1"/>
    </xf>
    <xf numFmtId="1" fontId="2" fillId="8" borderId="11" xfId="0" applyNumberFormat="1" applyFont="1" applyFill="1" applyBorder="1" applyAlignment="1">
      <alignment horizontal="center" vertical="center" wrapText="1"/>
    </xf>
    <xf numFmtId="1" fontId="3" fillId="0" borderId="10" xfId="0" applyNumberFormat="1" applyFont="1" applyBorder="1" applyAlignment="1">
      <alignment horizontal="center" vertical="center" wrapText="1"/>
    </xf>
    <xf numFmtId="1" fontId="3" fillId="0" borderId="11" xfId="0" applyNumberFormat="1" applyFont="1" applyBorder="1" applyAlignment="1">
      <alignment horizontal="center" vertical="center" wrapText="1"/>
    </xf>
    <xf numFmtId="1" fontId="3" fillId="0" borderId="7" xfId="0" applyNumberFormat="1" applyFont="1" applyBorder="1" applyAlignment="1">
      <alignment horizontal="center" vertical="center" wrapText="1"/>
    </xf>
    <xf numFmtId="1" fontId="3" fillId="0" borderId="8" xfId="0" applyNumberFormat="1" applyFont="1" applyBorder="1" applyAlignment="1">
      <alignment horizontal="center" vertical="center" wrapText="1"/>
    </xf>
    <xf numFmtId="0" fontId="4" fillId="18" borderId="11" xfId="0" applyFont="1" applyFill="1" applyBorder="1" applyAlignment="1">
      <alignment horizontal="left" vertical="center" wrapText="1"/>
    </xf>
    <xf numFmtId="0" fontId="1" fillId="11" borderId="12" xfId="0" applyFont="1" applyFill="1" applyBorder="1" applyAlignment="1">
      <alignment horizontal="left" vertical="center" wrapText="1"/>
    </xf>
    <xf numFmtId="0" fontId="3" fillId="0" borderId="26" xfId="0" applyFont="1" applyBorder="1" applyAlignment="1">
      <alignment horizontal="left" vertical="center" wrapText="1"/>
    </xf>
    <xf numFmtId="0" fontId="3" fillId="0" borderId="27" xfId="0" applyFont="1" applyBorder="1" applyAlignment="1">
      <alignment horizontal="left" vertical="center" wrapText="1"/>
    </xf>
    <xf numFmtId="0" fontId="3" fillId="0" borderId="28" xfId="0" applyFont="1" applyBorder="1" applyAlignment="1">
      <alignment horizontal="left" vertical="center" wrapText="1"/>
    </xf>
    <xf numFmtId="0" fontId="3" fillId="0" borderId="29" xfId="0" applyFont="1" applyBorder="1" applyAlignment="1">
      <alignment horizontal="left" vertical="center" wrapText="1"/>
    </xf>
    <xf numFmtId="0" fontId="25" fillId="0" borderId="34" xfId="0" applyFont="1" applyBorder="1" applyAlignment="1">
      <alignment horizontal="left" vertical="center" wrapText="1"/>
    </xf>
    <xf numFmtId="0" fontId="25" fillId="0" borderId="35" xfId="0" applyFont="1" applyBorder="1" applyAlignment="1">
      <alignment horizontal="left" vertical="center" wrapText="1"/>
    </xf>
    <xf numFmtId="0" fontId="3" fillId="0" borderId="19" xfId="0" applyFont="1" applyBorder="1" applyAlignment="1">
      <alignment horizontal="left" vertical="center" wrapText="1"/>
    </xf>
    <xf numFmtId="0" fontId="3" fillId="0" borderId="17" xfId="0" applyFont="1" applyBorder="1" applyAlignment="1">
      <alignment horizontal="left" vertical="center" wrapText="1"/>
    </xf>
    <xf numFmtId="0" fontId="3" fillId="0" borderId="5" xfId="0" applyFont="1" applyBorder="1" applyAlignment="1">
      <alignment horizontal="center" vertical="center" wrapText="1"/>
    </xf>
    <xf numFmtId="0" fontId="3" fillId="0" borderId="0" xfId="0" applyFont="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8" fillId="2" borderId="11" xfId="0" applyFont="1" applyFill="1" applyBorder="1" applyAlignment="1">
      <alignment horizontal="center" vertical="center" wrapText="1"/>
    </xf>
    <xf numFmtId="0" fontId="1" fillId="5" borderId="10" xfId="0" applyFont="1" applyFill="1" applyBorder="1" applyAlignment="1">
      <alignment horizontal="left" vertical="center" wrapText="1"/>
    </xf>
    <xf numFmtId="0" fontId="1" fillId="5" borderId="11" xfId="0" applyFont="1" applyFill="1" applyBorder="1" applyAlignment="1">
      <alignment horizontal="left" vertical="center" wrapText="1"/>
    </xf>
    <xf numFmtId="1" fontId="2" fillId="8" borderId="8" xfId="0" applyNumberFormat="1" applyFont="1" applyFill="1" applyBorder="1" applyAlignment="1">
      <alignment horizontal="center" vertical="center" wrapText="1"/>
    </xf>
    <xf numFmtId="1" fontId="3" fillId="0" borderId="0" xfId="0" applyNumberFormat="1" applyFont="1" applyAlignment="1">
      <alignment horizontal="center" vertical="center" wrapText="1"/>
    </xf>
    <xf numFmtId="0" fontId="6" fillId="3" borderId="7" xfId="0" applyFont="1" applyFill="1" applyBorder="1" applyAlignment="1">
      <alignment horizontal="center" vertical="center" wrapText="1"/>
    </xf>
    <xf numFmtId="0" fontId="6" fillId="3" borderId="8"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18" borderId="12" xfId="0" applyFont="1" applyFill="1" applyBorder="1" applyAlignment="1">
      <alignment horizontal="left" vertical="center" wrapText="1"/>
    </xf>
    <xf numFmtId="0" fontId="25" fillId="0" borderId="21" xfId="0" applyFont="1" applyBorder="1" applyAlignment="1">
      <alignment horizontal="left" vertical="center" wrapText="1"/>
    </xf>
    <xf numFmtId="0" fontId="25" fillId="0" borderId="18" xfId="0" applyFont="1" applyBorder="1" applyAlignment="1">
      <alignment horizontal="left" vertical="center" wrapText="1"/>
    </xf>
    <xf numFmtId="0" fontId="6" fillId="12" borderId="7" xfId="0" applyFont="1" applyFill="1" applyBorder="1" applyAlignment="1">
      <alignment horizontal="center" vertical="center" wrapText="1"/>
    </xf>
    <xf numFmtId="0" fontId="6" fillId="12" borderId="8" xfId="0" applyFont="1" applyFill="1" applyBorder="1" applyAlignment="1">
      <alignment horizontal="center" vertical="center" wrapText="1"/>
    </xf>
    <xf numFmtId="0" fontId="3" fillId="0" borderId="39" xfId="0" applyFont="1" applyBorder="1" applyAlignment="1">
      <alignment horizontal="left" vertical="center" wrapText="1"/>
    </xf>
    <xf numFmtId="0" fontId="3" fillId="0" borderId="36" xfId="0" applyFont="1" applyBorder="1" applyAlignment="1">
      <alignment horizontal="left" vertical="center" wrapText="1"/>
    </xf>
    <xf numFmtId="0" fontId="3" fillId="0" borderId="37" xfId="0" applyFont="1" applyBorder="1" applyAlignment="1">
      <alignment horizontal="left" vertical="center" wrapText="1"/>
    </xf>
    <xf numFmtId="0" fontId="3" fillId="0" borderId="38" xfId="0" applyFont="1" applyBorder="1" applyAlignment="1">
      <alignment horizontal="left" vertical="center" wrapText="1"/>
    </xf>
    <xf numFmtId="0" fontId="3" fillId="0" borderId="10" xfId="0" applyFont="1" applyBorder="1" applyAlignment="1">
      <alignment horizontal="left" vertical="center" wrapText="1"/>
    </xf>
    <xf numFmtId="0" fontId="3" fillId="0" borderId="11" xfId="0" applyFont="1" applyBorder="1" applyAlignment="1">
      <alignment horizontal="left" vertical="center" wrapText="1"/>
    </xf>
    <xf numFmtId="0" fontId="25" fillId="0" borderId="39" xfId="0" applyFont="1" applyBorder="1" applyAlignment="1">
      <alignment horizontal="left" vertical="center" wrapText="1"/>
    </xf>
    <xf numFmtId="0" fontId="4" fillId="18" borderId="4" xfId="0" applyFont="1" applyFill="1" applyBorder="1" applyAlignment="1">
      <alignment horizontal="left" vertical="center" wrapText="1"/>
    </xf>
    <xf numFmtId="0" fontId="3" fillId="0" borderId="12" xfId="0" applyFont="1" applyBorder="1" applyAlignment="1">
      <alignment horizontal="left" vertical="center" wrapText="1"/>
    </xf>
    <xf numFmtId="0" fontId="25" fillId="0" borderId="36" xfId="0" applyFont="1" applyBorder="1" applyAlignment="1">
      <alignment horizontal="left" vertical="center" wrapText="1"/>
    </xf>
    <xf numFmtId="0" fontId="6" fillId="13" borderId="7" xfId="0" applyFont="1" applyFill="1" applyBorder="1" applyAlignment="1">
      <alignment horizontal="center" vertical="center" wrapText="1"/>
    </xf>
    <xf numFmtId="0" fontId="6" fillId="13" borderId="8" xfId="0" applyFont="1" applyFill="1" applyBorder="1" applyAlignment="1">
      <alignment horizontal="center" vertical="center" wrapText="1"/>
    </xf>
    <xf numFmtId="1" fontId="2" fillId="8" borderId="11" xfId="1" applyNumberFormat="1" applyFont="1" applyFill="1" applyBorder="1" applyAlignment="1">
      <alignment horizontal="center" vertical="center" wrapText="1"/>
    </xf>
    <xf numFmtId="9" fontId="2" fillId="8" borderId="11" xfId="1" applyFont="1" applyFill="1" applyBorder="1" applyAlignment="1">
      <alignment horizontal="center" vertical="center" wrapText="1"/>
    </xf>
    <xf numFmtId="0" fontId="3" fillId="0" borderId="43" xfId="0" applyFont="1" applyBorder="1" applyAlignment="1">
      <alignment horizontal="left" vertical="center" wrapText="1"/>
    </xf>
    <xf numFmtId="0" fontId="25" fillId="0" borderId="40" xfId="0" applyFont="1" applyBorder="1" applyAlignment="1">
      <alignment horizontal="left" vertical="center" wrapText="1"/>
    </xf>
    <xf numFmtId="0" fontId="25" fillId="0" borderId="41" xfId="0" applyFont="1" applyBorder="1" applyAlignment="1">
      <alignment horizontal="left" vertical="center" wrapText="1"/>
    </xf>
    <xf numFmtId="0" fontId="25" fillId="0" borderId="42" xfId="0" applyFont="1" applyBorder="1" applyAlignment="1">
      <alignment horizontal="left" vertical="center" wrapText="1"/>
    </xf>
    <xf numFmtId="0" fontId="3" fillId="0" borderId="40" xfId="0" applyFont="1" applyBorder="1" applyAlignment="1">
      <alignment horizontal="left" vertical="center" wrapText="1"/>
    </xf>
    <xf numFmtId="0" fontId="3" fillId="0" borderId="41" xfId="0" applyFont="1" applyBorder="1" applyAlignment="1">
      <alignment horizontal="left" vertical="center" wrapText="1"/>
    </xf>
    <xf numFmtId="0" fontId="3" fillId="0" borderId="42" xfId="0" applyFont="1" applyBorder="1" applyAlignment="1">
      <alignment horizontal="left" vertical="center" wrapText="1"/>
    </xf>
    <xf numFmtId="0" fontId="25" fillId="21" borderId="21" xfId="0" applyFont="1" applyFill="1" applyBorder="1" applyAlignment="1">
      <alignment horizontal="left" vertical="center" wrapText="1"/>
    </xf>
    <xf numFmtId="0" fontId="25" fillId="21" borderId="18" xfId="0" applyFont="1" applyFill="1" applyBorder="1" applyAlignment="1">
      <alignment horizontal="left" vertical="center" wrapText="1"/>
    </xf>
    <xf numFmtId="0" fontId="3" fillId="21" borderId="21" xfId="0" applyFont="1" applyFill="1" applyBorder="1" applyAlignment="1">
      <alignment horizontal="left" vertical="center" wrapText="1"/>
    </xf>
    <xf numFmtId="0" fontId="3" fillId="21" borderId="18" xfId="0" applyFont="1" applyFill="1" applyBorder="1" applyAlignment="1">
      <alignment horizontal="left" vertical="center" wrapText="1"/>
    </xf>
    <xf numFmtId="0" fontId="6" fillId="17" borderId="7" xfId="0" applyFont="1" applyFill="1" applyBorder="1" applyAlignment="1">
      <alignment horizontal="center" vertical="center" wrapText="1"/>
    </xf>
    <xf numFmtId="0" fontId="6" fillId="17" borderId="8" xfId="0" applyFont="1" applyFill="1" applyBorder="1" applyAlignment="1">
      <alignment horizontal="center" vertical="center" wrapText="1"/>
    </xf>
    <xf numFmtId="0" fontId="3" fillId="21" borderId="39" xfId="0" applyFont="1" applyFill="1" applyBorder="1" applyAlignment="1">
      <alignment horizontal="left" vertical="center" wrapText="1"/>
    </xf>
    <xf numFmtId="0" fontId="4" fillId="18" borderId="12" xfId="0" applyFont="1" applyFill="1" applyBorder="1" applyAlignment="1">
      <alignment horizontal="left" vertical="center" wrapText="1"/>
    </xf>
    <xf numFmtId="0" fontId="1" fillId="15" borderId="10" xfId="0" applyFont="1" applyFill="1" applyBorder="1" applyAlignment="1">
      <alignment horizontal="left" vertical="center" wrapText="1"/>
    </xf>
    <xf numFmtId="0" fontId="1" fillId="15" borderId="11" xfId="0" applyFont="1" applyFill="1" applyBorder="1" applyAlignment="1">
      <alignment horizontal="left" vertical="center" wrapText="1"/>
    </xf>
    <xf numFmtId="0" fontId="1" fillId="15" borderId="12" xfId="0" applyFont="1" applyFill="1" applyBorder="1" applyAlignment="1">
      <alignment horizontal="left" vertical="center" wrapText="1"/>
    </xf>
    <xf numFmtId="0" fontId="3" fillId="0" borderId="28" xfId="0" applyFont="1" applyBorder="1" applyAlignment="1">
      <alignment horizontal="center" vertical="center" wrapText="1"/>
    </xf>
    <xf numFmtId="0" fontId="3" fillId="0" borderId="29" xfId="0" applyFont="1" applyBorder="1" applyAlignment="1">
      <alignment horizontal="center" vertical="center" wrapText="1"/>
    </xf>
    <xf numFmtId="0" fontId="3" fillId="0" borderId="21" xfId="0" applyFont="1" applyBorder="1" applyAlignment="1">
      <alignment horizontal="center" vertical="center" wrapText="1"/>
    </xf>
    <xf numFmtId="0" fontId="3" fillId="0" borderId="30" xfId="0" applyFont="1" applyBorder="1" applyAlignment="1">
      <alignment horizontal="left" vertical="center" wrapText="1"/>
    </xf>
    <xf numFmtId="0" fontId="3" fillId="0" borderId="30" xfId="0" applyFont="1" applyBorder="1" applyAlignment="1">
      <alignment horizontal="left" vertical="top" wrapText="1"/>
    </xf>
    <xf numFmtId="0" fontId="3" fillId="0" borderId="43" xfId="0" applyFont="1" applyBorder="1" applyAlignment="1">
      <alignment horizontal="left" vertical="top" wrapText="1"/>
    </xf>
  </cellXfs>
  <cellStyles count="4">
    <cellStyle name="Gut" xfId="3" builtinId="26"/>
    <cellStyle name="Link" xfId="2" builtinId="8"/>
    <cellStyle name="Prozent" xfId="1" builtinId="5"/>
    <cellStyle name="Standard" xfId="0" builtinId="0"/>
  </cellStyles>
  <dxfs count="78">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59996337778862885"/>
        </patternFill>
      </fill>
    </dxf>
    <dxf>
      <fill>
        <patternFill>
          <bgColor theme="7" tint="0.59996337778862885"/>
        </patternFill>
      </fill>
    </dxf>
    <dxf>
      <fill>
        <patternFill>
          <bgColor theme="7" tint="0.59996337778862885"/>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00FFFF"/>
      <color rgb="FFFFC000"/>
      <color rgb="FFC00000"/>
      <color rgb="FF000000"/>
      <color rgb="FF70AD47"/>
      <color rgb="FFF8696B"/>
      <color rgb="FFFF8B8B"/>
      <color rgb="FF63BE7B"/>
      <color rgb="FF996633"/>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6.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7.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8.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19.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2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de-DE">
                <a:solidFill>
                  <a:sysClr val="windowText" lastClr="000000"/>
                </a:solidFill>
              </a:rPr>
              <a:t>MCDA ranking results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de-DE"/>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1">
                  <a:lumMod val="40000"/>
                  <a:lumOff val="60000"/>
                </a:schemeClr>
              </a:solidFill>
              <a:ln>
                <a:noFill/>
              </a:ln>
              <a:effectLst/>
            </c:spPr>
            <c:extLst>
              <c:ext xmlns:c16="http://schemas.microsoft.com/office/drawing/2014/chart" uri="{C3380CC4-5D6E-409C-BE32-E72D297353CC}">
                <c16:uniqueId val="{00000001-8BAA-4E41-BFFB-E511B0A3480F}"/>
              </c:ext>
            </c:extLst>
          </c:dPt>
          <c:dPt>
            <c:idx val="1"/>
            <c:invertIfNegative val="0"/>
            <c:bubble3D val="0"/>
            <c:spPr>
              <a:solidFill>
                <a:srgbClr val="FFC000"/>
              </a:solidFill>
              <a:ln>
                <a:noFill/>
              </a:ln>
              <a:effectLst/>
            </c:spPr>
            <c:extLst>
              <c:ext xmlns:c16="http://schemas.microsoft.com/office/drawing/2014/chart" uri="{C3380CC4-5D6E-409C-BE32-E72D297353CC}">
                <c16:uniqueId val="{00000003-8BAA-4E41-BFFB-E511B0A3480F}"/>
              </c:ext>
            </c:extLst>
          </c:dPt>
          <c:dPt>
            <c:idx val="2"/>
            <c:invertIfNegative val="0"/>
            <c:bubble3D val="0"/>
            <c:spPr>
              <a:solidFill>
                <a:schemeClr val="bg1">
                  <a:lumMod val="75000"/>
                </a:schemeClr>
              </a:solidFill>
              <a:ln>
                <a:noFill/>
              </a:ln>
              <a:effectLst/>
            </c:spPr>
            <c:extLst>
              <c:ext xmlns:c16="http://schemas.microsoft.com/office/drawing/2014/chart" uri="{C3380CC4-5D6E-409C-BE32-E72D297353CC}">
                <c16:uniqueId val="{00000005-8BAA-4E41-BFFB-E511B0A348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Ranking_calc!$E$49:$G$49</c:f>
              <c:strCache>
                <c:ptCount val="3"/>
                <c:pt idx="0">
                  <c:v>Anarobic digester and CHP</c:v>
                </c:pt>
                <c:pt idx="1">
                  <c:v>PV</c:v>
                </c:pt>
                <c:pt idx="2">
                  <c:v>Stand-alone DG</c:v>
                </c:pt>
              </c:strCache>
            </c:strRef>
          </c:cat>
          <c:val>
            <c:numRef>
              <c:f>Ranking_calc!$E$50:$G$50</c:f>
              <c:numCache>
                <c:formatCode>0.000</c:formatCode>
                <c:ptCount val="3"/>
                <c:pt idx="0">
                  <c:v>0.65512265512265511</c:v>
                </c:pt>
                <c:pt idx="1">
                  <c:v>0.47071060912646245</c:v>
                </c:pt>
                <c:pt idx="2">
                  <c:v>0.4755934519103493</c:v>
                </c:pt>
              </c:numCache>
            </c:numRef>
          </c:val>
          <c:extLst>
            <c:ext xmlns:c16="http://schemas.microsoft.com/office/drawing/2014/chart" uri="{C3380CC4-5D6E-409C-BE32-E72D297353CC}">
              <c16:uniqueId val="{00000006-8BAA-4E41-BFFB-E511B0A3480F}"/>
            </c:ext>
          </c:extLst>
        </c:ser>
        <c:dLbls>
          <c:showLegendKey val="0"/>
          <c:showVal val="0"/>
          <c:showCatName val="0"/>
          <c:showSerName val="0"/>
          <c:showPercent val="0"/>
          <c:showBubbleSize val="0"/>
        </c:dLbls>
        <c:gapWidth val="219"/>
        <c:overlap val="-27"/>
        <c:axId val="1980995072"/>
        <c:axId val="1980998816"/>
      </c:barChart>
      <c:catAx>
        <c:axId val="198099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1980998816"/>
        <c:crosses val="autoZero"/>
        <c:auto val="1"/>
        <c:lblAlgn val="ctr"/>
        <c:lblOffset val="100"/>
        <c:noMultiLvlLbl val="0"/>
      </c:catAx>
      <c:valAx>
        <c:axId val="19809988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1980995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de-DE">
                <a:solidFill>
                  <a:sysClr val="windowText" lastClr="000000"/>
                </a:solidFill>
              </a:rPr>
              <a:t>MCDA ranking</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de-DE"/>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1">
                  <a:lumMod val="40000"/>
                  <a:lumOff val="60000"/>
                </a:schemeClr>
              </a:solidFill>
              <a:ln>
                <a:noFill/>
              </a:ln>
              <a:effectLst/>
            </c:spPr>
            <c:extLst>
              <c:ext xmlns:c16="http://schemas.microsoft.com/office/drawing/2014/chart" uri="{C3380CC4-5D6E-409C-BE32-E72D297353CC}">
                <c16:uniqueId val="{00000001-409B-44E5-866F-DF0BCB580B8E}"/>
              </c:ext>
            </c:extLst>
          </c:dPt>
          <c:dPt>
            <c:idx val="1"/>
            <c:invertIfNegative val="0"/>
            <c:bubble3D val="0"/>
            <c:spPr>
              <a:solidFill>
                <a:srgbClr val="FFC000"/>
              </a:solidFill>
              <a:ln>
                <a:noFill/>
              </a:ln>
              <a:effectLst/>
            </c:spPr>
            <c:extLst>
              <c:ext xmlns:c16="http://schemas.microsoft.com/office/drawing/2014/chart" uri="{C3380CC4-5D6E-409C-BE32-E72D297353CC}">
                <c16:uniqueId val="{00000002-409B-44E5-866F-DF0BCB580B8E}"/>
              </c:ext>
            </c:extLst>
          </c:dPt>
          <c:dPt>
            <c:idx val="2"/>
            <c:invertIfNegative val="0"/>
            <c:bubble3D val="0"/>
            <c:spPr>
              <a:solidFill>
                <a:schemeClr val="bg1">
                  <a:lumMod val="75000"/>
                </a:schemeClr>
              </a:solidFill>
              <a:ln>
                <a:noFill/>
              </a:ln>
              <a:effectLst/>
            </c:spPr>
            <c:extLst>
              <c:ext xmlns:c16="http://schemas.microsoft.com/office/drawing/2014/chart" uri="{C3380CC4-5D6E-409C-BE32-E72D297353CC}">
                <c16:uniqueId val="{00000003-409B-44E5-866F-DF0BCB580B8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Ranking_calc!$E$49:$G$49</c:f>
              <c:strCache>
                <c:ptCount val="3"/>
                <c:pt idx="0">
                  <c:v>Anarobic digester and CHP</c:v>
                </c:pt>
                <c:pt idx="1">
                  <c:v>PV</c:v>
                </c:pt>
                <c:pt idx="2">
                  <c:v>Stand-alone DG</c:v>
                </c:pt>
              </c:strCache>
            </c:strRef>
          </c:cat>
          <c:val>
            <c:numRef>
              <c:f>Ranking_calc!$E$50:$G$50</c:f>
              <c:numCache>
                <c:formatCode>0.000</c:formatCode>
                <c:ptCount val="3"/>
                <c:pt idx="0">
                  <c:v>0.65512265512265511</c:v>
                </c:pt>
                <c:pt idx="1">
                  <c:v>0.47071060912646245</c:v>
                </c:pt>
                <c:pt idx="2">
                  <c:v>0.4755934519103493</c:v>
                </c:pt>
              </c:numCache>
            </c:numRef>
          </c:val>
          <c:extLst>
            <c:ext xmlns:c16="http://schemas.microsoft.com/office/drawing/2014/chart" uri="{C3380CC4-5D6E-409C-BE32-E72D297353CC}">
              <c16:uniqueId val="{00000000-409B-44E5-866F-DF0BCB580B8E}"/>
            </c:ext>
          </c:extLst>
        </c:ser>
        <c:dLbls>
          <c:showLegendKey val="0"/>
          <c:showVal val="0"/>
          <c:showCatName val="0"/>
          <c:showSerName val="0"/>
          <c:showPercent val="0"/>
          <c:showBubbleSize val="0"/>
        </c:dLbls>
        <c:gapWidth val="219"/>
        <c:overlap val="-27"/>
        <c:axId val="1980995072"/>
        <c:axId val="1980998816"/>
      </c:barChart>
      <c:catAx>
        <c:axId val="198099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1980998816"/>
        <c:crosses val="autoZero"/>
        <c:auto val="1"/>
        <c:lblAlgn val="ctr"/>
        <c:lblOffset val="100"/>
        <c:noMultiLvlLbl val="0"/>
      </c:catAx>
      <c:valAx>
        <c:axId val="19809988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1980995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Ranking_calc!$E$49</c:f>
              <c:strCache>
                <c:ptCount val="1"/>
                <c:pt idx="0">
                  <c:v>Anarobic digester and CHP</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iberation Sans" panose="020B0604020202020204" pitchFamily="34" charset="0"/>
                    <a:ea typeface="Liberation Sans" panose="020B0604020202020204" pitchFamily="34" charset="0"/>
                    <a:cs typeface="Liberation Sans" panose="020B0604020202020204" pitchFamily="34" charset="0"/>
                  </a:defRPr>
                </a:pPr>
                <a:endParaRPr lang="de-DE"/>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Ranking_calc!$E$50</c:f>
              <c:numCache>
                <c:formatCode>0.000</c:formatCode>
                <c:ptCount val="1"/>
                <c:pt idx="0">
                  <c:v>0.65512265512265511</c:v>
                </c:pt>
              </c:numCache>
            </c:numRef>
          </c:val>
          <c:extLst>
            <c:ext xmlns:c16="http://schemas.microsoft.com/office/drawing/2014/chart" uri="{C3380CC4-5D6E-409C-BE32-E72D297353CC}">
              <c16:uniqueId val="{00000000-28E5-40BE-A99A-09E77B392B80}"/>
            </c:ext>
          </c:extLst>
        </c:ser>
        <c:ser>
          <c:idx val="1"/>
          <c:order val="1"/>
          <c:tx>
            <c:strRef>
              <c:f>Ranking_calc!$F$49</c:f>
              <c:strCache>
                <c:ptCount val="1"/>
                <c:pt idx="0">
                  <c:v>PV</c:v>
                </c:pt>
              </c:strCache>
            </c:strRef>
          </c:tx>
          <c:spPr>
            <a:solidFill>
              <a:schemeClr val="accent2"/>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iberation Sans" panose="020B0604020202020204" pitchFamily="34" charset="0"/>
                    <a:ea typeface="Liberation Sans" panose="020B0604020202020204" pitchFamily="34" charset="0"/>
                    <a:cs typeface="Liberation Sans" panose="020B0604020202020204" pitchFamily="34" charset="0"/>
                  </a:defRPr>
                </a:pPr>
                <a:endParaRPr lang="de-DE"/>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Ranking_calc!$F$50</c:f>
              <c:numCache>
                <c:formatCode>0.000</c:formatCode>
                <c:ptCount val="1"/>
                <c:pt idx="0">
                  <c:v>0.47071060912646245</c:v>
                </c:pt>
              </c:numCache>
            </c:numRef>
          </c:val>
          <c:extLst>
            <c:ext xmlns:c16="http://schemas.microsoft.com/office/drawing/2014/chart" uri="{C3380CC4-5D6E-409C-BE32-E72D297353CC}">
              <c16:uniqueId val="{00000001-28E5-40BE-A99A-09E77B392B80}"/>
            </c:ext>
          </c:extLst>
        </c:ser>
        <c:ser>
          <c:idx val="2"/>
          <c:order val="2"/>
          <c:tx>
            <c:strRef>
              <c:f>Ranking_calc!$G$49</c:f>
              <c:strCache>
                <c:ptCount val="1"/>
                <c:pt idx="0">
                  <c:v>Stand-alone DG</c:v>
                </c:pt>
              </c:strCache>
            </c:strRef>
          </c:tx>
          <c:spPr>
            <a:solidFill>
              <a:schemeClr val="accent3"/>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Liberation Sans" panose="020B0604020202020204" pitchFamily="34" charset="0"/>
                    <a:ea typeface="Liberation Sans" panose="020B0604020202020204" pitchFamily="34" charset="0"/>
                    <a:cs typeface="Liberation Sans" panose="020B0604020202020204" pitchFamily="34" charset="0"/>
                  </a:defRPr>
                </a:pPr>
                <a:endParaRPr lang="de-DE"/>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Ranking_calc!$G$50</c:f>
              <c:numCache>
                <c:formatCode>0.000</c:formatCode>
                <c:ptCount val="1"/>
                <c:pt idx="0">
                  <c:v>0.4755934519103493</c:v>
                </c:pt>
              </c:numCache>
            </c:numRef>
          </c:val>
          <c:extLst>
            <c:ext xmlns:c16="http://schemas.microsoft.com/office/drawing/2014/chart" uri="{C3380CC4-5D6E-409C-BE32-E72D297353CC}">
              <c16:uniqueId val="{00000002-28E5-40BE-A99A-09E77B392B80}"/>
            </c:ext>
          </c:extLst>
        </c:ser>
        <c:dLbls>
          <c:dLblPos val="inEnd"/>
          <c:showLegendKey val="0"/>
          <c:showVal val="1"/>
          <c:showCatName val="0"/>
          <c:showSerName val="0"/>
          <c:showPercent val="0"/>
          <c:showBubbleSize val="0"/>
        </c:dLbls>
        <c:gapWidth val="219"/>
        <c:overlap val="-27"/>
        <c:axId val="503089848"/>
        <c:axId val="503090504"/>
      </c:barChart>
      <c:catAx>
        <c:axId val="503089848"/>
        <c:scaling>
          <c:orientation val="minMax"/>
        </c:scaling>
        <c:delete val="1"/>
        <c:axPos val="b"/>
        <c:numFmt formatCode="General" sourceLinked="1"/>
        <c:majorTickMark val="none"/>
        <c:minorTickMark val="none"/>
        <c:tickLblPos val="nextTo"/>
        <c:crossAx val="503090504"/>
        <c:crosses val="autoZero"/>
        <c:auto val="1"/>
        <c:lblAlgn val="ctr"/>
        <c:lblOffset val="100"/>
        <c:noMultiLvlLbl val="0"/>
      </c:catAx>
      <c:valAx>
        <c:axId val="50309050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iberation Sans" panose="020B0604020202020204" pitchFamily="34" charset="0"/>
                <a:ea typeface="Liberation Sans" panose="020B0604020202020204" pitchFamily="34" charset="0"/>
                <a:cs typeface="Liberation Sans" panose="020B0604020202020204" pitchFamily="34" charset="0"/>
              </a:defRPr>
            </a:pPr>
            <a:endParaRPr lang="de-DE"/>
          </a:p>
        </c:txPr>
        <c:crossAx val="503089848"/>
        <c:crosses val="autoZero"/>
        <c:crossBetween val="between"/>
        <c:majorUnit val="0.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data id="1">
      <cx:numDim type="val">
        <cx:f>_xlchart.v1.3</cx:f>
      </cx:numDim>
    </cx:data>
    <cx:data id="2">
      <cx:numDim type="val">
        <cx:f>_xlchart.v1.5</cx: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Calibri" panose="020F0502020204030204"/>
          </a:endParaRPr>
        </a:p>
      </cx:txPr>
    </cx:title>
    <cx:plotArea>
      <cx:plotAreaRegion>
        <cx:series layoutId="boxWhisker" uniqueId="{D1D5DFB7-5417-4822-B9DA-D7D600D743DF}" formatIdx="0">
          <cx:tx>
            <cx:txData>
              <cx:f>_xlchart.v1.0</cx:f>
              <cx:v>Anaerobic digester &amp; CHP</cx:v>
            </cx:txData>
          </cx:tx>
          <cx:dataId val="0"/>
          <cx:layoutPr>
            <cx:statistics quartileMethod="exclusive"/>
          </cx:layoutPr>
        </cx:series>
        <cx:series layoutId="boxWhisker" uniqueId="{47FEF233-E931-499A-9FB6-92C5ED7053FF}" formatIdx="1">
          <cx:tx>
            <cx:txData>
              <cx:f>_xlchart.v1.2</cx:f>
              <cx:v>PV</cx:v>
            </cx:txData>
          </cx:tx>
          <cx:dataId val="1"/>
          <cx:layoutPr>
            <cx:statistics quartileMethod="exclusive"/>
          </cx:layoutPr>
        </cx:series>
        <cx:series layoutId="boxWhisker" uniqueId="{897504E1-F3B9-422C-86FA-8F15079DA503}" formatIdx="2">
          <cx:tx>
            <cx:txData>
              <cx:f>_xlchart.v1.4</cx:f>
              <cx:v>Stand-alone DG</cx:v>
            </cx:txData>
          </cx:tx>
          <cx:dataId val="2"/>
          <cx:layoutPr>
            <cx:statistics quartileMethod="exclusive"/>
          </cx:layoutPr>
        </cx:series>
      </cx:plotAreaRegion>
      <cx:axis id="0" hidden="1">
        <cx:catScaling gapWidth="1"/>
        <cx:tickLabels/>
      </cx:axis>
      <cx:axis id="1">
        <cx:valScaling/>
        <cx:title>
          <cx:tx>
            <cx:txData>
              <cx:v>€/kW</cx:v>
            </cx:txData>
          </cx:tx>
          <cx:txPr>
            <a:bodyPr spcFirstLastPara="1" vertOverflow="ellipsis" horzOverflow="overflow" wrap="square" lIns="0" tIns="0" rIns="0" bIns="0" anchor="ctr" anchorCtr="1"/>
            <a:lstStyle/>
            <a:p>
              <a:pPr algn="ctr" rtl="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€/kW</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data id="1">
      <cx:numDim type="val">
        <cx:f>_xlchart.v1.9</cx:f>
      </cx:numDim>
    </cx:data>
    <cx:data id="2">
      <cx:numDim type="val">
        <cx:f>_xlchart.v1.11</cx: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Calibri" panose="020F0502020204030204"/>
          </a:endParaRPr>
        </a:p>
      </cx:txPr>
    </cx:title>
    <cx:plotArea>
      <cx:plotAreaRegion>
        <cx:series layoutId="boxWhisker" uniqueId="{D1D5DFB7-5417-4822-B9DA-D7D600D743DF}" formatIdx="0">
          <cx:tx>
            <cx:txData>
              <cx:f>_xlchart.v1.6</cx:f>
              <cx:v>Anaerobic digester &amp; CHP</cx:v>
            </cx:txData>
          </cx:tx>
          <cx:dataId val="0"/>
          <cx:layoutPr>
            <cx:statistics quartileMethod="exclusive"/>
          </cx:layoutPr>
        </cx:series>
        <cx:series layoutId="boxWhisker" uniqueId="{47FEF233-E931-499A-9FB6-92C5ED7053FF}" formatIdx="1">
          <cx:tx>
            <cx:txData>
              <cx:f>_xlchart.v1.8</cx:f>
              <cx:v>PV</cx:v>
            </cx:txData>
          </cx:tx>
          <cx:dataId val="1"/>
          <cx:layoutPr>
            <cx:statistics quartileMethod="exclusive"/>
          </cx:layoutPr>
        </cx:series>
        <cx:series layoutId="boxWhisker" uniqueId="{897504E1-F3B9-422C-86FA-8F15079DA503}" formatIdx="2">
          <cx:tx>
            <cx:txData>
              <cx:f>_xlchart.v1.10</cx:f>
              <cx:v>Stand-alone DG</cx:v>
            </cx:txData>
          </cx:tx>
          <cx:dataId val="2"/>
          <cx:layoutPr>
            <cx:statistics quartileMethod="exclusive"/>
          </cx:layoutPr>
        </cx:series>
      </cx:plotAreaRegion>
      <cx:axis id="0" hidden="1">
        <cx:catScaling gapWidth="1"/>
        <cx:tickLabels/>
      </cx:axis>
      <cx:axis id="1">
        <cx:valScaling/>
        <cx:title>
          <cx:tx>
            <cx:txData>
              <cx:v>€/kW</cx:v>
            </cx:txData>
          </cx:tx>
          <cx:txPr>
            <a:bodyPr spcFirstLastPara="1" vertOverflow="ellipsis" horzOverflow="overflow" wrap="square" lIns="0" tIns="0" rIns="0" bIns="0" anchor="ctr" anchorCtr="1"/>
            <a:lstStyle/>
            <a:p>
              <a:pPr algn="ctr" rtl="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€/kW</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_xlchart.v1.13</cx:f>
      </cx:numDim>
    </cx:data>
    <cx:data id="1">
      <cx:numDim type="val">
        <cx:f>_xlchart.v1.15</cx:f>
      </cx:numDim>
    </cx:data>
    <cx:data id="2">
      <cx:numDim type="val">
        <cx:f>_xlchart.v1.17</cx:f>
      </cx:numDim>
    </cx:data>
  </cx:chartData>
  <cx:chart>
    <cx:plotArea>
      <cx:plotAreaRegion>
        <cx:series layoutId="boxWhisker" uniqueId="{9A4E6DA5-2876-4E94-8F9D-028EA5B828CD}" formatIdx="0">
          <cx:tx>
            <cx:txData>
              <cx:f>_xlchart.v1.12</cx:f>
              <cx:v>Nanogrid</cx:v>
            </cx:txData>
          </cx:tx>
          <cx:dataId val="0"/>
          <cx:layoutPr>
            <cx:statistics quartileMethod="exclusive"/>
          </cx:layoutPr>
        </cx:series>
        <cx:series layoutId="boxWhisker" uniqueId="{15CA5E64-4567-40F5-99FB-9CE27065D928}" formatIdx="1">
          <cx:tx>
            <cx:txData>
              <cx:f>_xlchart.v1.14</cx:f>
              <cx:v>SHS</cx:v>
            </cx:txData>
          </cx:tx>
          <cx:dataId val="1"/>
          <cx:layoutPr>
            <cx:statistics quartileMethod="exclusive"/>
          </cx:layoutPr>
        </cx:series>
        <cx:series layoutId="boxWhisker" uniqueId="{2FC1ECCE-4CA2-44EF-97D1-16CA80DA1967}" formatIdx="2">
          <cx:tx>
            <cx:txData>
              <cx:f>_xlchart.v1.16</cx:f>
              <cx:v>Stand-alone DG</cx:v>
            </cx:txData>
          </cx:tx>
          <cx:dataId val="2"/>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_xlchart.v1.19</cx:f>
      </cx:numDim>
    </cx:data>
    <cx:data id="1">
      <cx:numDim type="val">
        <cx:f>_xlchart.v1.21</cx:f>
      </cx:numDim>
    </cx:data>
    <cx:data id="2">
      <cx:numDim type="val">
        <cx:f>_xlchart.v1.23</cx:f>
      </cx:numDim>
    </cx:data>
  </cx:chartData>
  <cx:chart>
    <cx:plotArea>
      <cx:plotAreaRegion>
        <cx:series layoutId="boxWhisker" uniqueId="{8E545B99-92E3-4376-B09C-53EC700D6B01}" formatIdx="0">
          <cx:tx>
            <cx:txData>
              <cx:f>_xlchart.v1.18</cx:f>
              <cx:v>Anaerobic digester &amp; CHP</cx:v>
            </cx:txData>
          </cx:tx>
          <cx:dataId val="0"/>
          <cx:layoutPr>
            <cx:statistics quartileMethod="exclusive"/>
          </cx:layoutPr>
        </cx:series>
        <cx:series layoutId="boxWhisker" uniqueId="{62DFF323-3D19-4F0B-9686-3F208AEEA553}" formatIdx="1">
          <cx:tx>
            <cx:txData>
              <cx:f>_xlchart.v1.20</cx:f>
              <cx:v>PV</cx:v>
            </cx:txData>
          </cx:tx>
          <cx:dataId val="1"/>
          <cx:layoutPr>
            <cx:statistics quartileMethod="exclusive"/>
          </cx:layoutPr>
        </cx:series>
        <cx:series layoutId="boxWhisker" uniqueId="{E8AE2BA8-D82B-4D58-BD16-D7D374D2A7EB}" formatIdx="2">
          <cx:tx>
            <cx:txData>
              <cx:f>_xlchart.v1.22</cx:f>
              <cx:v>Stand-alone DG</cx:v>
            </cx:txData>
          </cx:tx>
          <cx:dataId val="2"/>
          <cx:layoutPr>
            <cx:statistics quartileMethod="exclusive"/>
          </cx:layoutPr>
        </cx:series>
      </cx:plotAreaRegion>
      <cx:axis id="0" hidden="1">
        <cx:catScaling gapWidth="1"/>
        <cx:tickLabels/>
      </cx:axis>
      <cx:axis id="1">
        <cx:valScaling/>
        <cx:title>
          <cx:tx>
            <cx:txData>
              <cx:v>yr</cx:v>
            </cx:txData>
          </cx:tx>
          <cx:txPr>
            <a:bodyPr spcFirstLastPara="1" vertOverflow="ellipsis" horzOverflow="overflow" wrap="square" lIns="0" tIns="0" rIns="0" bIns="0" anchor="ctr" anchorCtr="1"/>
            <a:lstStyle/>
            <a:p>
              <a:pPr algn="ctr" rtl="0">
                <a:defRPr/>
              </a:pPr>
              <a:r>
                <a:rPr lang="de-DE" sz="900" b="0" i="0" u="none" strike="noStrike" baseline="0">
                  <a:solidFill>
                    <a:sysClr val="windowText" lastClr="000000">
                      <a:lumMod val="65000"/>
                      <a:lumOff val="35000"/>
                    </a:sysClr>
                  </a:solidFill>
                  <a:latin typeface="Calibri" panose="020F0502020204030204"/>
                </a:rPr>
                <a:t>yr</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_xlchart.v1.25</cx:f>
      </cx:numDim>
    </cx:data>
    <cx:data id="1">
      <cx:numDim type="val">
        <cx:f>_xlchart.v1.27</cx:f>
      </cx:numDim>
    </cx:data>
    <cx:data id="2">
      <cx:numDim type="val">
        <cx:f>_xlchart.v1.29</cx:f>
      </cx:numDim>
    </cx:data>
  </cx:chartData>
  <cx:chart>
    <cx:plotArea>
      <cx:plotAreaRegion>
        <cx:series layoutId="boxWhisker" uniqueId="{FB841335-0800-46AC-A3AE-DD16C2214A52}" formatIdx="0">
          <cx:tx>
            <cx:txData>
              <cx:f>_xlchart.v1.24</cx:f>
              <cx:v>Anaerobic digester &amp; CHP</cx:v>
            </cx:txData>
          </cx:tx>
          <cx:dataId val="0"/>
          <cx:layoutPr>
            <cx:statistics quartileMethod="exclusive"/>
          </cx:layoutPr>
        </cx:series>
        <cx:series layoutId="boxWhisker" uniqueId="{1D0E75E6-D5CD-42A2-9B31-AB33F857DD51}" formatIdx="2">
          <cx:tx>
            <cx:txData>
              <cx:f>_xlchart.v1.26</cx:f>
              <cx:v>PV</cx:v>
            </cx:txData>
          </cx:tx>
          <cx:dataId val="1"/>
          <cx:layoutPr>
            <cx:statistics quartileMethod="exclusive"/>
          </cx:layoutPr>
        </cx:series>
        <cx:series layoutId="boxWhisker" uniqueId="{B4F90193-DDC8-4C26-9CDE-0F5E4D0266B7}" formatIdx="4">
          <cx:tx>
            <cx:txData>
              <cx:f>_xlchart.v1.28</cx:f>
              <cx:v>Stand-alone DG</cx:v>
            </cx:txData>
          </cx:tx>
          <cx:dataId val="2"/>
          <cx:layoutPr>
            <cx:statistics quartileMethod="exclusive"/>
          </cx:layoutPr>
        </cx:series>
      </cx:plotAreaRegion>
      <cx:axis id="0" hidden="1">
        <cx:catScaling gapWidth="1"/>
        <cx:tickLabels/>
      </cx:axis>
      <cx:axis id="1">
        <cx:valScaling/>
        <cx:title>
          <cx:tx>
            <cx:txData>
              <cx:v>€/kWh</cx:v>
            </cx:txData>
          </cx:tx>
          <cx:txPr>
            <a:bodyPr spcFirstLastPara="1" vertOverflow="ellipsis" horzOverflow="overflow" wrap="square" lIns="0" tIns="0" rIns="0" bIns="0" anchor="ctr" anchorCtr="1"/>
            <a:lstStyle/>
            <a:p>
              <a:pPr algn="ctr" rtl="0">
                <a:defRPr/>
              </a:pPr>
              <a:r>
                <a:rPr lang="de-DE" sz="900" b="0" i="0" u="none" strike="noStrike" baseline="0">
                  <a:solidFill>
                    <a:sysClr val="windowText" lastClr="000000">
                      <a:lumMod val="65000"/>
                      <a:lumOff val="35000"/>
                    </a:sysClr>
                  </a:solidFill>
                  <a:latin typeface="Calibri" panose="020F0502020204030204"/>
                </a:rPr>
                <a:t>€/kWh</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_xlchart.v1.31</cx:f>
      </cx:numDim>
    </cx:data>
    <cx:data id="1">
      <cx:numDim type="val">
        <cx:f>_xlchart.v1.33</cx:f>
      </cx:numDim>
    </cx:data>
    <cx:data id="2">
      <cx:numDim type="val">
        <cx:f>_xlchart.v1.35</cx: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Calibri" panose="020F0502020204030204"/>
          </a:endParaRPr>
        </a:p>
      </cx:txPr>
    </cx:title>
    <cx:plotArea>
      <cx:plotAreaRegion>
        <cx:series layoutId="boxWhisker" uniqueId="{D1D5DFB7-5417-4822-B9DA-D7D600D743DF}" formatIdx="0">
          <cx:tx>
            <cx:txData>
              <cx:f>_xlchart.v1.30</cx:f>
              <cx:v>Anaerobic digester &amp; CHP</cx:v>
            </cx:txData>
          </cx:tx>
          <cx:dataId val="0"/>
          <cx:layoutPr>
            <cx:statistics quartileMethod="exclusive"/>
          </cx:layoutPr>
        </cx:series>
        <cx:series layoutId="boxWhisker" uniqueId="{47FEF233-E931-499A-9FB6-92C5ED7053FF}" formatIdx="1">
          <cx:tx>
            <cx:txData>
              <cx:f>_xlchart.v1.32</cx:f>
              <cx:v>PV</cx:v>
            </cx:txData>
          </cx:tx>
          <cx:dataId val="1"/>
          <cx:layoutPr>
            <cx:statistics quartileMethod="exclusive"/>
          </cx:layoutPr>
        </cx:series>
        <cx:series layoutId="boxWhisker" uniqueId="{897504E1-F3B9-422C-86FA-8F15079DA503}" formatIdx="2">
          <cx:tx>
            <cx:txData>
              <cx:f>_xlchart.v1.34</cx:f>
              <cx:v>Stand-alone DG</cx:v>
            </cx:txData>
          </cx:tx>
          <cx:dataId val="2"/>
          <cx:layoutPr>
            <cx:statistics quartileMethod="exclusive"/>
          </cx:layoutPr>
        </cx:series>
      </cx:plotAreaRegion>
      <cx:axis id="0" hidden="1">
        <cx:catScaling gapWidth="1"/>
        <cx:tickLabels/>
      </cx:axis>
      <cx:axis id="1">
        <cx:valScaling/>
        <cx:title>
          <cx:tx>
            <cx:txData>
              <cx:v>€kW/yr</cx:v>
            </cx:txData>
          </cx:tx>
          <cx:txPr>
            <a:bodyPr spcFirstLastPara="1" vertOverflow="ellipsis" horzOverflow="overflow" wrap="square" lIns="0" tIns="0" rIns="0" bIns="0" anchor="ctr" anchorCtr="1"/>
            <a:lstStyle/>
            <a:p>
              <a:pPr algn="ctr" rtl="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€kW/yr</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_xlchart.v1.37</cx:f>
      </cx:numDim>
    </cx:data>
    <cx:data id="1">
      <cx:numDim type="val">
        <cx:f>_xlchart.v1.39</cx:f>
      </cx:numDim>
    </cx:data>
    <cx:data id="2">
      <cx:numDim type="val">
        <cx:f>_xlchart.v1.41</cx:f>
      </cx:numDim>
    </cx:data>
  </cx:chartData>
  <cx:chart>
    <cx:plotArea>
      <cx:plotAreaRegion>
        <cx:series layoutId="boxWhisker" uniqueId="{5F29C8EB-DC3E-4932-8037-46753AD31538}" formatIdx="0">
          <cx:tx>
            <cx:txData>
              <cx:f>_xlchart.v1.36</cx:f>
              <cx:v>Anaerobic digester &amp; CHP</cx:v>
            </cx:txData>
          </cx:tx>
          <cx:dataId val="0"/>
          <cx:layoutPr>
            <cx:statistics quartileMethod="exclusive"/>
          </cx:layoutPr>
        </cx:series>
        <cx:series layoutId="boxWhisker" uniqueId="{76912BDC-2431-4B9C-8101-23B940721C42}" formatIdx="1">
          <cx:tx>
            <cx:txData>
              <cx:f>_xlchart.v1.38</cx:f>
              <cx:v>PV</cx:v>
            </cx:txData>
          </cx:tx>
          <cx:dataId val="1"/>
          <cx:layoutPr>
            <cx:statistics quartileMethod="exclusive"/>
          </cx:layoutPr>
        </cx:series>
        <cx:series layoutId="boxWhisker" uniqueId="{5FF8E136-D6E6-4E8C-875A-AF054C9EB855}" formatIdx="2">
          <cx:tx>
            <cx:txData>
              <cx:f>_xlchart.v1.40</cx:f>
              <cx:v>Stand-alone DG</cx:v>
            </cx:txData>
          </cx:tx>
          <cx:dataId val="2"/>
          <cx:layoutPr>
            <cx:statistics quartileMethod="exclusive"/>
          </cx:layoutPr>
        </cx:series>
      </cx:plotAreaRegion>
      <cx:axis id="0" hidden="1">
        <cx:catScaling gapWidth="1"/>
        <cx:tickLabels/>
      </cx:axis>
      <cx:axis id="1">
        <cx:valScaling/>
        <cx:title>
          <cx:tx>
            <cx:txData>
              <cx:v>m2/MWh</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m2/MWh</a:t>
              </a:r>
            </a:p>
          </cx:txPr>
        </cx:title>
        <cx:majorGridlines/>
        <cx:tickLabels/>
      </cx:axis>
    </cx:plotArea>
    <cx:legend pos="b" align="ctr" overlay="0">
      <cx:txPr>
        <a:bodyPr spcFirstLastPara="1" vertOverflow="ellipsis" horzOverflow="overflow" wrap="square" lIns="0" tIns="0" rIns="0" bIns="0" anchor="ctr" anchorCtr="1"/>
        <a:lstStyle/>
        <a:p>
          <a:pPr algn="ctr" rtl="0">
            <a:defRPr/>
          </a:pPr>
          <a:endParaRPr lang="fr-FR" sz="900" b="0" i="0" u="none" strike="noStrike" baseline="0">
            <a:solidFill>
              <a:sysClr val="windowText" lastClr="000000">
                <a:lumMod val="65000"/>
                <a:lumOff val="35000"/>
              </a:sysClr>
            </a:solidFill>
            <a:latin typeface="Calibri" panose="020F0502020204030204"/>
          </a:endParaRPr>
        </a:p>
      </cx:txPr>
    </cx:legend>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_xlchart.v1.43</cx:f>
      </cx:numDim>
    </cx:data>
    <cx:data id="1">
      <cx:numDim type="val">
        <cx:f>_xlchart.v1.45</cx:f>
      </cx:numDim>
    </cx:data>
    <cx:data id="2">
      <cx:numDim type="val">
        <cx:f>_xlchart.v1.47</cx:f>
      </cx:numDim>
    </cx:data>
  </cx:chartData>
  <cx:chart>
    <cx:plotArea>
      <cx:plotAreaRegion>
        <cx:series layoutId="boxWhisker" uniqueId="{C3E9A3E3-4031-43FD-B538-1B1ABFA4A84C}" formatIdx="0">
          <cx:tx>
            <cx:txData>
              <cx:f>_xlchart.v1.42</cx:f>
              <cx:v>Anaerobic digester &amp; CHP</cx:v>
            </cx:txData>
          </cx:tx>
          <cx:dataId val="0"/>
          <cx:layoutPr>
            <cx:statistics quartileMethod="exclusive"/>
          </cx:layoutPr>
        </cx:series>
        <cx:series layoutId="boxWhisker" uniqueId="{BCF7BF60-2915-4309-8552-B8661887BFFC}" formatIdx="1">
          <cx:tx>
            <cx:txData>
              <cx:f>_xlchart.v1.44</cx:f>
              <cx:v>PV</cx:v>
            </cx:txData>
          </cx:tx>
          <cx:dataId val="1"/>
          <cx:layoutPr>
            <cx:statistics quartileMethod="exclusive"/>
          </cx:layoutPr>
        </cx:series>
        <cx:series layoutId="boxWhisker" uniqueId="{085F461D-148D-4696-8A9C-8A5CF840C2C6}" formatIdx="2">
          <cx:tx>
            <cx:txData>
              <cx:f>_xlchart.v1.46</cx:f>
              <cx:v>Stand-alone DG</cx:v>
            </cx:txData>
          </cx:tx>
          <cx:dataId val="2"/>
          <cx:layoutPr>
            <cx:statistics quartileMethod="exclusive"/>
          </cx:layoutPr>
        </cx:series>
      </cx:plotAreaRegion>
      <cx:axis id="0" hidden="1">
        <cx:catScaling gapWidth="1"/>
        <cx:tickLabels/>
      </cx:axis>
      <cx:axis id="1">
        <cx:valScaling/>
        <cx:title>
          <cx:tx>
            <cx:txData>
              <cx:v>gCO2-eq./kWh</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gCO2-eq./kWh</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_xlchart.v1.49</cx:f>
      </cx:numDim>
    </cx:data>
    <cx:data id="1">
      <cx:numDim type="val">
        <cx:f>_xlchart.v1.51</cx:f>
      </cx:numDim>
    </cx:data>
    <cx:data id="2">
      <cx:numDim type="val">
        <cx:f>_xlchart.v1.53</cx:f>
      </cx:numDim>
    </cx:data>
  </cx:chartData>
  <cx:chart>
    <cx:plotArea>
      <cx:plotAreaRegion>
        <cx:series layoutId="boxWhisker" uniqueId="{5218B811-C511-4A49-B814-41E702241472}" formatIdx="0">
          <cx:tx>
            <cx:txData>
              <cx:f>_xlchart.v1.48</cx:f>
              <cx:v>Nanogrid</cx:v>
            </cx:txData>
          </cx:tx>
          <cx:dataId val="0"/>
          <cx:layoutPr>
            <cx:statistics quartileMethod="exclusive"/>
          </cx:layoutPr>
        </cx:series>
        <cx:series layoutId="boxWhisker" uniqueId="{C6C8DA0C-327E-46C8-B10B-A7FB4F033EA6}" formatIdx="1">
          <cx:tx>
            <cx:txData>
              <cx:f>_xlchart.v1.50</cx:f>
              <cx:v>SHS</cx:v>
            </cx:txData>
          </cx:tx>
          <cx:dataId val="1"/>
          <cx:layoutPr>
            <cx:statistics quartileMethod="exclusive"/>
          </cx:layoutPr>
        </cx:series>
        <cx:series layoutId="boxWhisker" uniqueId="{86C17036-05F7-41C7-845B-5D082BF786AF}" formatIdx="2">
          <cx:tx>
            <cx:txData>
              <cx:f>_xlchart.v1.52</cx:f>
              <cx:v>Stand-alone DG</cx:v>
            </cx:txData>
          </cx:tx>
          <cx:dataId val="2"/>
          <cx:layoutPr>
            <cx:statistics quartileMethod="exclusive"/>
          </cx:layoutPr>
        </cx:series>
      </cx:plotAreaRegion>
      <cx:axis id="0" hidden="1">
        <cx:catScaling gapWidth="1"/>
        <cx:tickLabels/>
      </cx:axis>
      <cx:axis id="1">
        <cx:valScaling/>
        <cx:title>
          <cx:tx>
            <cx:txData>
              <cx:v>m²/MWh</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m²/MWh</a:t>
              </a:r>
            </a:p>
          </cx:txPr>
        </cx:title>
        <cx:majorGridlines/>
        <cx:tickLabels/>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_xlchart.v1.55</cx:f>
      </cx:numDim>
    </cx:data>
    <cx:data id="1">
      <cx:numDim type="val">
        <cx:f>_xlchart.v1.57</cx:f>
      </cx:numDim>
    </cx:data>
    <cx:data id="2">
      <cx:numDim type="val">
        <cx:f>_xlchart.v1.59</cx:f>
      </cx:numDim>
    </cx:data>
  </cx:chartData>
  <cx:chart>
    <cx:plotArea>
      <cx:plotAreaRegion>
        <cx:series layoutId="boxWhisker" uniqueId="{29454E33-4EFA-4483-8491-0D8F8E9AA6B2}" formatIdx="0">
          <cx:tx>
            <cx:txData>
              <cx:f>_xlchart.v1.54</cx:f>
              <cx:v>Anaerobic digester &amp; CHP</cx:v>
            </cx:txData>
          </cx:tx>
          <cx:dataId val="0"/>
          <cx:layoutPr>
            <cx:statistics quartileMethod="exclusive"/>
          </cx:layoutPr>
        </cx:series>
        <cx:series layoutId="boxWhisker" uniqueId="{1A4FF9B1-7DBA-4752-A50B-D85CD10F129D}" formatIdx="1">
          <cx:tx>
            <cx:txData>
              <cx:f>_xlchart.v1.56</cx:f>
              <cx:v>PV</cx:v>
            </cx:txData>
          </cx:tx>
          <cx:dataId val="1"/>
          <cx:layoutPr>
            <cx:statistics quartileMethod="exclusive"/>
          </cx:layoutPr>
        </cx:series>
        <cx:series layoutId="boxWhisker" uniqueId="{DFDDC810-0C90-4C47-B5AC-FFFFCF9C8873}" formatIdx="2">
          <cx:tx>
            <cx:txData>
              <cx:f>_xlchart.v1.58</cx:f>
              <cx:v>Stand-alone DG</cx:v>
            </cx:txData>
          </cx:tx>
          <cx:dataId val="2"/>
          <cx:layoutPr>
            <cx:statistics quartileMethod="exclusive"/>
          </cx:layoutPr>
        </cx:series>
      </cx:plotAreaRegion>
      <cx:axis id="0" hidden="1">
        <cx:catScaling gapWidth="1"/>
        <cx:tickLabels/>
      </cx:axis>
      <cx:axis id="1">
        <cx:valScaling/>
        <cx:title>
          <cx:tx>
            <cx:rich>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rich>
          </cx:tx>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_xlchart.v1.61</cx:f>
      </cx:numDim>
    </cx:data>
    <cx:data id="1">
      <cx:numDim type="val">
        <cx:f>_xlchart.v1.63</cx:f>
      </cx:numDim>
    </cx:data>
    <cx:data id="2">
      <cx:numDim type="val">
        <cx:f>_xlchart.v1.65</cx:f>
      </cx:numDim>
    </cx:data>
  </cx:chartData>
  <cx:chart>
    <cx:plotArea>
      <cx:plotAreaRegion>
        <cx:series layoutId="boxWhisker" uniqueId="{73AA547D-D0A2-4CFE-8000-26BF000131C6}" formatIdx="0">
          <cx:tx>
            <cx:txData>
              <cx:f>_xlchart.v1.60</cx:f>
              <cx:v>Anaerobic digester &amp; CHP</cx:v>
            </cx:txData>
          </cx:tx>
          <cx:dataId val="0"/>
          <cx:layoutPr>
            <cx:statistics quartileMethod="exclusive"/>
          </cx:layoutPr>
        </cx:series>
        <cx:series layoutId="boxWhisker" uniqueId="{564927B9-901F-4771-9DC5-0BF52B6AA7BD}" formatIdx="1">
          <cx:tx>
            <cx:txData>
              <cx:f>_xlchart.v1.62</cx:f>
              <cx:v>PV</cx:v>
            </cx:txData>
          </cx:tx>
          <cx:dataId val="1"/>
          <cx:layoutPr>
            <cx:statistics quartileMethod="exclusive"/>
          </cx:layoutPr>
        </cx:series>
        <cx:series layoutId="boxWhisker" uniqueId="{EF725397-EB7A-4554-85AB-FC8F5845B83E}" formatIdx="2">
          <cx:tx>
            <cx:txData>
              <cx:f>_xlchart.v1.64</cx:f>
              <cx:v>Stand-alone DG</cx:v>
            </cx:txData>
          </cx:tx>
          <cx:dataId val="2"/>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_xlchart.v1.67</cx:f>
      </cx:numDim>
    </cx:data>
    <cx:data id="1">
      <cx:numDim type="val">
        <cx:f>_xlchart.v1.69</cx:f>
      </cx:numDim>
    </cx:data>
    <cx:data id="2">
      <cx:numDim type="val">
        <cx:f>_xlchart.v1.71</cx:f>
      </cx:numDim>
    </cx:data>
  </cx:chartData>
  <cx:chart>
    <cx:plotArea>
      <cx:plotAreaRegion>
        <cx:series layoutId="boxWhisker" uniqueId="{25EBC604-77BC-4763-AE9F-CFF7E9A3CBF2}" formatIdx="0">
          <cx:tx>
            <cx:txData>
              <cx:f>_xlchart.v1.66</cx:f>
              <cx:v>Anaerobic digester &amp; CHP</cx:v>
            </cx:txData>
          </cx:tx>
          <cx:dataId val="0"/>
          <cx:layoutPr>
            <cx:statistics quartileMethod="exclusive"/>
          </cx:layoutPr>
        </cx:series>
        <cx:series layoutId="boxWhisker" uniqueId="{F3C6071A-C43F-4970-9006-2232CBCA66D4}" formatIdx="1">
          <cx:tx>
            <cx:txData>
              <cx:f>_xlchart.v1.68</cx:f>
              <cx:v>PV</cx:v>
            </cx:txData>
          </cx:tx>
          <cx:dataId val="1"/>
          <cx:layoutPr>
            <cx:statistics quartileMethod="exclusive"/>
          </cx:layoutPr>
        </cx:series>
        <cx:series layoutId="boxWhisker" uniqueId="{C9A22327-D69B-4DE5-A89B-A5FDBF4307D9}" formatIdx="2">
          <cx:tx>
            <cx:txData>
              <cx:f>_xlchart.v1.70</cx:f>
              <cx:v>Stand-alone DG</cx:v>
            </cx:txData>
          </cx:tx>
          <cx:dataId val="2"/>
          <cx:layoutPr>
            <cx:statistics quartileMethod="exclusive"/>
          </cx:layoutPr>
        </cx:series>
      </cx:plotAreaRegion>
      <cx:axis id="0" hidden="1">
        <cx:catScaling gapWidth="1"/>
        <cx:tickLabels/>
      </cx:axis>
      <cx:axis id="1">
        <cx:valScaling/>
        <cx:title>
          <cx:tx>
            <cx:txData>
              <cx:v>jobs/MW</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jobs/MW</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3.xml><?xml version="1.0" encoding="utf-8"?>
<cx:chartSpace xmlns:a="http://schemas.openxmlformats.org/drawingml/2006/main" xmlns:r="http://schemas.openxmlformats.org/officeDocument/2006/relationships" xmlns:cx="http://schemas.microsoft.com/office/drawing/2014/chartex">
  <cx:chartData>
    <cx:data id="0">
      <cx:numDim type="val">
        <cx:f>_xlchart.v1.73</cx:f>
      </cx:numDim>
    </cx:data>
    <cx:data id="1">
      <cx:numDim type="val">
        <cx:f>_xlchart.v1.75</cx:f>
      </cx:numDim>
    </cx:data>
    <cx:data id="2">
      <cx:numDim type="val">
        <cx:f>_xlchart.v1.77</cx:f>
      </cx:numDim>
    </cx:data>
  </cx:chartData>
  <cx:chart>
    <cx:plotArea>
      <cx:plotAreaRegion>
        <cx:series layoutId="boxWhisker" uniqueId="{25EBC604-77BC-4763-AE9F-CFF7E9A3CBF2}" formatIdx="0">
          <cx:tx>
            <cx:txData>
              <cx:f>_xlchart.v1.72</cx:f>
              <cx:v>Anaerobic digester &amp; CHP</cx:v>
            </cx:txData>
          </cx:tx>
          <cx:dataId val="0"/>
          <cx:layoutPr>
            <cx:statistics quartileMethod="exclusive"/>
          </cx:layoutPr>
        </cx:series>
        <cx:series layoutId="boxWhisker" uniqueId="{F3C6071A-C43F-4970-9006-2232CBCA66D4}" formatIdx="1">
          <cx:tx>
            <cx:txData>
              <cx:f>_xlchart.v1.74</cx:f>
              <cx:v>PV</cx:v>
            </cx:txData>
          </cx:tx>
          <cx:dataId val="1"/>
          <cx:layoutPr>
            <cx:statistics quartileMethod="exclusive"/>
          </cx:layoutPr>
        </cx:series>
        <cx:series layoutId="boxWhisker" uniqueId="{C9A22327-D69B-4DE5-A89B-A5FDBF4307D9}" formatIdx="2">
          <cx:tx>
            <cx:txData>
              <cx:f>_xlchart.v1.76</cx:f>
              <cx:v>Stand-alone DG</cx:v>
            </cx:txData>
          </cx:tx>
          <cx:dataId val="2"/>
          <cx:layoutPr>
            <cx:statistics quartileMethod="exclusive"/>
          </cx:layoutPr>
        </cx:series>
      </cx:plotAreaRegion>
      <cx:axis id="0" hidden="1">
        <cx:catScaling gapWidth="1"/>
        <cx:tickLabels/>
      </cx:axis>
      <cx:axis id="1">
        <cx:valScaling/>
        <cx:title>
          <cx:tx>
            <cx:txData>
              <cx:v>jobs/MW</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jobs/MW</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4.xml><?xml version="1.0" encoding="utf-8"?>
<cx:chartSpace xmlns:a="http://schemas.openxmlformats.org/drawingml/2006/main" xmlns:r="http://schemas.openxmlformats.org/officeDocument/2006/relationships" xmlns:cx="http://schemas.microsoft.com/office/drawing/2014/chartex">
  <cx:chartData>
    <cx:data id="0">
      <cx:numDim type="val">
        <cx:f>_xlchart.v1.79</cx:f>
      </cx:numDim>
    </cx:data>
    <cx:data id="1">
      <cx:numDim type="val">
        <cx:f>_xlchart.v1.81</cx:f>
      </cx:numDim>
    </cx:data>
    <cx:data id="2">
      <cx:numDim type="val">
        <cx:f>_xlchart.v1.83</cx:f>
      </cx:numDim>
    </cx:data>
  </cx:chartData>
  <cx:chart>
    <cx:plotArea>
      <cx:plotAreaRegion>
        <cx:series layoutId="boxWhisker" uniqueId="{25EBC604-77BC-4763-AE9F-CFF7E9A3CBF2}" formatIdx="0">
          <cx:tx>
            <cx:txData>
              <cx:f>_xlchart.v1.78</cx:f>
              <cx:v>Nanogrid</cx:v>
            </cx:txData>
          </cx:tx>
          <cx:dataId val="0"/>
          <cx:layoutPr>
            <cx:statistics quartileMethod="exclusive"/>
          </cx:layoutPr>
        </cx:series>
        <cx:series layoutId="boxWhisker" uniqueId="{F3C6071A-C43F-4970-9006-2232CBCA66D4}" formatIdx="1">
          <cx:tx>
            <cx:txData>
              <cx:f>_xlchart.v1.80</cx:f>
              <cx:v>SHS</cx:v>
            </cx:txData>
          </cx:tx>
          <cx:dataId val="1"/>
          <cx:layoutPr>
            <cx:statistics quartileMethod="exclusive"/>
          </cx:layoutPr>
        </cx:series>
        <cx:series layoutId="boxWhisker" uniqueId="{C9A22327-D69B-4DE5-A89B-A5FDBF4307D9}" formatIdx="2">
          <cx:tx>
            <cx:txData>
              <cx:f>_xlchart.v1.82</cx:f>
              <cx:v>Stand-alone DG</cx:v>
            </cx:txData>
          </cx:tx>
          <cx:dataId val="2"/>
          <cx:layoutPr>
            <cx:statistics quartileMethod="exclusive"/>
          </cx:layoutPr>
        </cx:series>
      </cx:plotAreaRegion>
      <cx:axis id="0" hidden="1">
        <cx:catScaling gapWidth="1"/>
        <cx:tickLabels/>
      </cx:axis>
      <cx:axis id="1">
        <cx:valScaling/>
        <cx:title>
          <cx:tx>
            <cx:txData>
              <cx:v># Number</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 Number</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5.xml><?xml version="1.0" encoding="utf-8"?>
<cx:chartSpace xmlns:a="http://schemas.openxmlformats.org/drawingml/2006/main" xmlns:r="http://schemas.openxmlformats.org/officeDocument/2006/relationships" xmlns:cx="http://schemas.microsoft.com/office/drawing/2014/chartex">
  <cx:chartData>
    <cx:data id="0">
      <cx:numDim type="val">
        <cx:f>_xlchart.v1.85</cx:f>
      </cx:numDim>
    </cx:data>
    <cx:data id="1">
      <cx:numDim type="val">
        <cx:f>_xlchart.v1.87</cx:f>
      </cx:numDim>
    </cx:data>
    <cx:data id="2">
      <cx:numDim type="val">
        <cx:f>_xlchart.v1.89</cx:f>
      </cx:numDim>
    </cx:data>
  </cx:chartData>
  <cx:chart>
    <cx:plotArea>
      <cx:plotAreaRegion>
        <cx:series layoutId="boxWhisker" uniqueId="{7EEC9E98-FECD-48DA-B5DF-6C8F8D9608B1}" formatIdx="0">
          <cx:tx>
            <cx:txData>
              <cx:f>_xlchart.v1.84</cx:f>
              <cx:v>Anaerobic digester &amp; CHP</cx:v>
            </cx:txData>
          </cx:tx>
          <cx:dataId val="0"/>
          <cx:layoutPr>
            <cx:statistics quartileMethod="exclusive"/>
          </cx:layoutPr>
        </cx:series>
        <cx:series layoutId="boxWhisker" uniqueId="{15694664-EFFE-4097-AF4E-A6516239C1EB}" formatIdx="1">
          <cx:tx>
            <cx:txData>
              <cx:f>_xlchart.v1.86</cx:f>
              <cx:v>PV</cx:v>
            </cx:txData>
          </cx:tx>
          <cx:dataId val="1"/>
          <cx:layoutPr>
            <cx:statistics quartileMethod="exclusive"/>
          </cx:layoutPr>
        </cx:series>
        <cx:series layoutId="boxWhisker" uniqueId="{610B6FAC-BEA1-46D2-9583-D69DA2698DF3}" formatIdx="2">
          <cx:tx>
            <cx:txData>
              <cx:f>_xlchart.v1.88</cx:f>
              <cx:v>Stand-alone DG</cx:v>
            </cx:txData>
          </cx:tx>
          <cx:dataId val="2"/>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6.xml><?xml version="1.0" encoding="utf-8"?>
<cx:chartSpace xmlns:a="http://schemas.openxmlformats.org/drawingml/2006/main" xmlns:r="http://schemas.openxmlformats.org/officeDocument/2006/relationships" xmlns:cx="http://schemas.microsoft.com/office/drawing/2014/chartex">
  <cx:chartData>
    <cx:data id="0">
      <cx:numDim type="val">
        <cx:f>_xlchart.v1.93</cx:f>
      </cx:numDim>
    </cx:data>
    <cx:data id="1">
      <cx:numDim type="val">
        <cx:f>_xlchart.v1.94</cx:f>
      </cx:numDim>
    </cx:data>
    <cx:data id="2">
      <cx:numDim type="val">
        <cx:f>_xlchart.v1.95</cx:f>
      </cx:numDim>
    </cx:data>
  </cx:chartData>
  <cx:chart>
    <cx:plotArea>
      <cx:plotAreaRegion>
        <cx:series layoutId="boxWhisker" uniqueId="{7EEC9E98-FECD-48DA-B5DF-6C8F8D9608B1}" formatIdx="0">
          <cx:tx>
            <cx:txData>
              <cx:f>_xlchart.v1.90</cx:f>
              <cx:v>Anaerobic digester &amp; CHP</cx:v>
            </cx:txData>
          </cx:tx>
          <cx:dataId val="0"/>
          <cx:layoutPr>
            <cx:statistics quartileMethod="exclusive"/>
          </cx:layoutPr>
        </cx:series>
        <cx:series layoutId="boxWhisker" uniqueId="{15694664-EFFE-4097-AF4E-A6516239C1EB}" formatIdx="1">
          <cx:tx>
            <cx:txData>
              <cx:f>_xlchart.v1.91</cx:f>
              <cx:v>PV</cx:v>
            </cx:txData>
          </cx:tx>
          <cx:dataId val="1"/>
          <cx:layoutPr>
            <cx:statistics quartileMethod="exclusive"/>
          </cx:layoutPr>
        </cx:series>
        <cx:series layoutId="boxWhisker" uniqueId="{610B6FAC-BEA1-46D2-9583-D69DA2698DF3}" formatIdx="2">
          <cx:tx>
            <cx:txData>
              <cx:f>_xlchart.v1.92</cx:f>
              <cx:v>Stand-alone DG</cx:v>
            </cx:txData>
          </cx:tx>
          <cx:dataId val="2"/>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7.xml><?xml version="1.0" encoding="utf-8"?>
<cx:chartSpace xmlns:a="http://schemas.openxmlformats.org/drawingml/2006/main" xmlns:r="http://schemas.openxmlformats.org/officeDocument/2006/relationships" xmlns:cx="http://schemas.microsoft.com/office/drawing/2014/chartex">
  <cx:chartData>
    <cx:data id="0">
      <cx:numDim type="val">
        <cx:f>_xlchart.v1.97</cx:f>
      </cx:numDim>
    </cx:data>
    <cx:data id="1">
      <cx:numDim type="val">
        <cx:f>_xlchart.v1.99</cx:f>
      </cx:numDim>
    </cx:data>
    <cx:data id="2">
      <cx:numDim type="val">
        <cx:f>_xlchart.v1.101</cx:f>
      </cx:numDim>
    </cx:data>
  </cx:chartData>
  <cx:chart>
    <cx:plotArea>
      <cx:plotAreaRegion>
        <cx:series layoutId="boxWhisker" uniqueId="{46D9054A-FE44-4E66-B3DF-4DD1F0BC34F3}" formatIdx="0">
          <cx:tx>
            <cx:txData>
              <cx:f>_xlchart.v1.96</cx:f>
              <cx:v>Anaerobic digester &amp; CHP</cx:v>
            </cx:txData>
          </cx:tx>
          <cx:dataId val="0"/>
          <cx:layoutPr>
            <cx:statistics quartileMethod="exclusive"/>
          </cx:layoutPr>
        </cx:series>
        <cx:series layoutId="boxWhisker" uniqueId="{E696D3AF-ABA9-4719-B0F7-8EEBF7103BBC}" formatIdx="1">
          <cx:tx>
            <cx:txData>
              <cx:f>_xlchart.v1.98</cx:f>
              <cx:v>PV</cx:v>
            </cx:txData>
          </cx:tx>
          <cx:dataId val="1"/>
          <cx:layoutPr>
            <cx:statistics quartileMethod="exclusive"/>
          </cx:layoutPr>
        </cx:series>
        <cx:series layoutId="boxWhisker" uniqueId="{FDF90A55-97A4-479F-8A48-9B11B3221C87}" formatIdx="2">
          <cx:tx>
            <cx:txData>
              <cx:f>_xlchart.v1.100</cx:f>
              <cx:v>Stand-alone DG</cx:v>
            </cx:txData>
          </cx:tx>
          <cx:dataId val="2"/>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8.xml><?xml version="1.0" encoding="utf-8"?>
<cx:chartSpace xmlns:a="http://schemas.openxmlformats.org/drawingml/2006/main" xmlns:r="http://schemas.openxmlformats.org/officeDocument/2006/relationships" xmlns:cx="http://schemas.microsoft.com/office/drawing/2014/chartex">
  <cx:chartData>
    <cx:data id="0">
      <cx:numDim type="val">
        <cx:f>_xlchart.v1.105</cx:f>
      </cx:numDim>
    </cx:data>
    <cx:data id="1">
      <cx:numDim type="val">
        <cx:f>_xlchart.v1.106</cx:f>
      </cx:numDim>
    </cx:data>
    <cx:data id="2">
      <cx:numDim type="val">
        <cx:f>_xlchart.v1.107</cx:f>
      </cx:numDim>
    </cx:data>
  </cx:chartData>
  <cx:chart>
    <cx:plotArea>
      <cx:plotAreaRegion>
        <cx:series layoutId="boxWhisker" uniqueId="{46D9054A-FE44-4E66-B3DF-4DD1F0BC34F3}" formatIdx="0">
          <cx:tx>
            <cx:txData>
              <cx:f>_xlchart.v1.104</cx:f>
              <cx:v>Anaerobic digester &amp; CHP</cx:v>
            </cx:txData>
          </cx:tx>
          <cx:dataId val="0"/>
          <cx:layoutPr>
            <cx:statistics quartileMethod="exclusive"/>
          </cx:layoutPr>
        </cx:series>
        <cx:series layoutId="boxWhisker" uniqueId="{E696D3AF-ABA9-4719-B0F7-8EEBF7103BBC}" formatIdx="1">
          <cx:tx>
            <cx:txData>
              <cx:f>_xlchart.v1.102</cx:f>
              <cx:v>PV</cx:v>
            </cx:txData>
          </cx:tx>
          <cx:dataId val="1"/>
          <cx:layoutPr>
            <cx:statistics quartileMethod="exclusive"/>
          </cx:layoutPr>
        </cx:series>
        <cx:series layoutId="boxWhisker" uniqueId="{FDF90A55-97A4-479F-8A48-9B11B3221C87}" formatIdx="2">
          <cx:tx>
            <cx:txData>
              <cx:f>_xlchart.v1.103</cx:f>
              <cx:v>Stand-alone DG</cx:v>
            </cx:txData>
          </cx:tx>
          <cx:dataId val="2"/>
          <cx:layoutPr>
            <cx:statistics quartileMethod="exclusive"/>
          </cx:layoutPr>
        </cx:series>
      </cx:plotAreaRegion>
      <cx:axis id="0" hidden="1">
        <cx:catScaling gapWidth="1"/>
        <cx:tickLabels/>
      </cx:axis>
      <cx:axis id="1">
        <cx:valScaling/>
        <cx:title>
          <cx:tx>
            <cx:txData>
              <cx:v>%</cx:v>
            </cx:txData>
          </cx:tx>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r>
                <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rPr>
                <a:t>%</a:t>
              </a:r>
            </a:p>
          </cx:txPr>
        </cx:title>
        <cx:majorGridlines/>
        <cx:tickLabels/>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axis>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19.xml><?xml version="1.0" encoding="utf-8"?>
<cx:chartSpace xmlns:a="http://schemas.openxmlformats.org/drawingml/2006/main" xmlns:r="http://schemas.openxmlformats.org/officeDocument/2006/relationships" xmlns:cx="http://schemas.microsoft.com/office/drawing/2014/chartex">
  <cx:chart>
    <cx:plotArea>
      <cx:plotAreaRegion/>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hartEx20.xml><?xml version="1.0" encoding="utf-8"?>
<cx:chartSpace xmlns:a="http://schemas.openxmlformats.org/drawingml/2006/main" xmlns:r="http://schemas.openxmlformats.org/officeDocument/2006/relationships" xmlns:cx="http://schemas.microsoft.com/office/drawing/2014/chartex">
  <cx:chart>
    <cx:plotArea>
      <cx:plotAreaRegion/>
    </cx:plotArea>
    <cx:legend pos="b" align="ctr" overlay="0">
      <cx:txPr>
        <a:bodyPr spcFirstLastPara="1" vertOverflow="ellipsis" horzOverflow="overflow" wrap="square" lIns="0" tIns="0" rIns="0" bIns="0" anchor="ctr" anchorCtr="1"/>
        <a:lstStyle/>
        <a:p>
          <a:pPr algn="ctr" rtl="0">
            <a:defRPr>
              <a:latin typeface="Liberation Sans" panose="020B0604020202020204" pitchFamily="34" charset="0"/>
              <a:ea typeface="Liberation Sans" panose="020B0604020202020204" pitchFamily="34" charset="0"/>
              <a:cs typeface="Liberation Sans" panose="020B0604020202020204" pitchFamily="34" charset="0"/>
            </a:defRPr>
          </a:pPr>
          <a:endParaRPr lang="fr-FR" sz="900" b="0" i="0" u="none" strike="noStrike" baseline="0">
            <a:solidFill>
              <a:sysClr val="windowText" lastClr="000000">
                <a:lumMod val="65000"/>
                <a:lumOff val="35000"/>
              </a:sysClr>
            </a:solidFill>
            <a:latin typeface="Liberation Sans" panose="020B0604020202020204" pitchFamily="34" charset="0"/>
            <a:ea typeface="Liberation Sans" panose="020B0604020202020204" pitchFamily="34" charset="0"/>
            <a:cs typeface="Liberation Sans" panose="020B0604020202020204" pitchFamily="34" charset="0"/>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microsoft.com/office/2014/relationships/chartEx" Target="../charts/chartEx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microsoft.com/office/2014/relationships/chartEx" Target="../charts/chartEx2.xml"/></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microsoft.com/office/2014/relationships/chartEx" Target="../charts/chartEx3.xml"/></Relationships>
</file>

<file path=xl/drawings/_rels/drawing8.xml.rels><?xml version="1.0" encoding="UTF-8" standalone="yes"?>
<Relationships xmlns="http://schemas.openxmlformats.org/package/2006/relationships"><Relationship Id="rId1" Type="http://schemas.microsoft.com/office/2014/relationships/chartEx" Target="../charts/chartEx4.xml"/></Relationships>
</file>

<file path=xl/drawings/_rels/drawing9.xml.rels><?xml version="1.0" encoding="UTF-8" standalone="yes"?>
<Relationships xmlns="http://schemas.openxmlformats.org/package/2006/relationships"><Relationship Id="rId1" Type="http://schemas.microsoft.com/office/2014/relationships/chartEx" Target="../charts/chartEx5.xml"/></Relationships>
</file>

<file path=xl/drawings/_rels/drawing10.xml.rels><?xml version="1.0" encoding="UTF-8" standalone="yes"?>
<Relationships xmlns="http://schemas.openxmlformats.org/package/2006/relationships"><Relationship Id="rId1" Type="http://schemas.microsoft.com/office/2014/relationships/chartEx" Target="../charts/chartEx6.xml"/></Relationships>
</file>

<file path=xl/drawings/_rels/drawing11.xml.rels><?xml version="1.0" encoding="UTF-8" standalone="yes"?>
<Relationships xmlns="http://schemas.openxmlformats.org/package/2006/relationships"><Relationship Id="rId1" Type="http://schemas.microsoft.com/office/2014/relationships/chartEx" Target="../charts/chartEx7.xml"/></Relationships>
</file>

<file path=xl/drawings/_rels/drawing12.xml.rels><?xml version="1.0" encoding="UTF-8" standalone="yes"?>
<Relationships xmlns="http://schemas.openxmlformats.org/package/2006/relationships"><Relationship Id="rId1" Type="http://schemas.microsoft.com/office/2014/relationships/chartEx" Target="../charts/chartEx8.xml"/></Relationships>
</file>

<file path=xl/drawings/_rels/drawing13.xml.rels><?xml version="1.0" encoding="UTF-8" standalone="yes"?>
<Relationships xmlns="http://schemas.openxmlformats.org/package/2006/relationships"><Relationship Id="rId1" Type="http://schemas.microsoft.com/office/2014/relationships/chartEx" Target="../charts/chartEx9.xml"/></Relationships>
</file>

<file path=xl/drawings/_rels/drawing14.xml.rels><?xml version="1.0" encoding="UTF-8" standalone="yes"?>
<Relationships xmlns="http://schemas.openxmlformats.org/package/2006/relationships"><Relationship Id="rId1" Type="http://schemas.microsoft.com/office/2014/relationships/chartEx" Target="../charts/chartEx10.xml"/></Relationships>
</file>

<file path=xl/drawings/_rels/drawing15.xml.rels><?xml version="1.0" encoding="UTF-8" standalone="yes"?>
<Relationships xmlns="http://schemas.openxmlformats.org/package/2006/relationships"><Relationship Id="rId1" Type="http://schemas.microsoft.com/office/2014/relationships/chartEx" Target="../charts/chartEx11.xml"/></Relationships>
</file>

<file path=xl/drawings/_rels/drawing16.xml.rels><?xml version="1.0" encoding="UTF-8" standalone="yes"?>
<Relationships xmlns="http://schemas.openxmlformats.org/package/2006/relationships"><Relationship Id="rId1" Type="http://schemas.microsoft.com/office/2014/relationships/chartEx" Target="../charts/chartEx12.xml"/></Relationships>
</file>

<file path=xl/drawings/_rels/drawing17.xml.rels><?xml version="1.0" encoding="UTF-8" standalone="yes"?>
<Relationships xmlns="http://schemas.openxmlformats.org/package/2006/relationships"><Relationship Id="rId1" Type="http://schemas.microsoft.com/office/2014/relationships/chartEx" Target="../charts/chartEx13.xml"/></Relationships>
</file>

<file path=xl/drawings/_rels/drawing18.xml.rels><?xml version="1.0" encoding="UTF-8" standalone="yes"?>
<Relationships xmlns="http://schemas.openxmlformats.org/package/2006/relationships"><Relationship Id="rId1" Type="http://schemas.microsoft.com/office/2014/relationships/chartEx" Target="../charts/chartEx14.xml"/></Relationships>
</file>

<file path=xl/drawings/_rels/drawing19.xml.rels><?xml version="1.0" encoding="UTF-8" standalone="yes"?>
<Relationships xmlns="http://schemas.openxmlformats.org/package/2006/relationships"><Relationship Id="rId1" Type="http://schemas.microsoft.com/office/2014/relationships/chartEx" Target="../charts/chartEx15.xml"/></Relationships>
</file>

<file path=xl/drawings/_rels/drawing20.xml.rels><?xml version="1.0" encoding="UTF-8" standalone="yes"?>
<Relationships xmlns="http://schemas.openxmlformats.org/package/2006/relationships"><Relationship Id="rId1" Type="http://schemas.microsoft.com/office/2014/relationships/chartEx" Target="../charts/chartEx16.xml"/></Relationships>
</file>

<file path=xl/drawings/_rels/drawing21.xml.rels><?xml version="1.0" encoding="UTF-8" standalone="yes"?>
<Relationships xmlns="http://schemas.openxmlformats.org/package/2006/relationships"><Relationship Id="rId1" Type="http://schemas.microsoft.com/office/2014/relationships/chartEx" Target="../charts/chartEx17.xml"/></Relationships>
</file>

<file path=xl/drawings/_rels/drawing22.xml.rels><?xml version="1.0" encoding="UTF-8" standalone="yes"?>
<Relationships xmlns="http://schemas.openxmlformats.org/package/2006/relationships"><Relationship Id="rId1" Type="http://schemas.microsoft.com/office/2014/relationships/chartEx" Target="../charts/chartEx18.xml"/></Relationships>
</file>

<file path=xl/drawings/_rels/drawing23.xml.rels><?xml version="1.0" encoding="UTF-8" standalone="yes"?>
<Relationships xmlns="http://schemas.openxmlformats.org/package/2006/relationships"><Relationship Id="rId1" Type="http://schemas.microsoft.com/office/2014/relationships/chartEx" Target="../charts/chartEx19.xml"/></Relationships>
</file>

<file path=xl/drawings/_rels/drawing24.xml.rels><?xml version="1.0" encoding="UTF-8" standalone="yes"?>
<Relationships xmlns="http://schemas.openxmlformats.org/package/2006/relationships"><Relationship Id="rId1" Type="http://schemas.microsoft.com/office/2014/relationships/chartEx" Target="../charts/chartEx2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1</xdr:col>
      <xdr:colOff>3075339</xdr:colOff>
      <xdr:row>3</xdr:row>
      <xdr:rowOff>171450</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38100"/>
          <a:ext cx="3837339" cy="676275"/>
        </a:xfrm>
        <a:prstGeom prst="rect">
          <a:avLst/>
        </a:prstGeom>
      </xdr:spPr>
    </xdr:pic>
    <xdr:clientData/>
  </xdr:twoCellAnchor>
  <xdr:twoCellAnchor editAs="oneCell">
    <xdr:from>
      <xdr:col>1</xdr:col>
      <xdr:colOff>57150</xdr:colOff>
      <xdr:row>12</xdr:row>
      <xdr:rowOff>179714</xdr:rowOff>
    </xdr:from>
    <xdr:to>
      <xdr:col>1</xdr:col>
      <xdr:colOff>3340100</xdr:colOff>
      <xdr:row>14</xdr:row>
      <xdr:rowOff>203199</xdr:rowOff>
    </xdr:to>
    <xdr:pic>
      <xdr:nvPicPr>
        <xdr:cNvPr id="3" name="Grafi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19150" y="7666364"/>
          <a:ext cx="3282950" cy="582286"/>
        </a:xfrm>
        <a:prstGeom prst="rect">
          <a:avLst/>
        </a:prstGeom>
      </xdr:spPr>
    </xdr:pic>
    <xdr:clientData/>
  </xdr:twoCellAnchor>
  <xdr:twoCellAnchor editAs="oneCell">
    <xdr:from>
      <xdr:col>2</xdr:col>
      <xdr:colOff>1133476</xdr:colOff>
      <xdr:row>9</xdr:row>
      <xdr:rowOff>419048</xdr:rowOff>
    </xdr:from>
    <xdr:to>
      <xdr:col>2</xdr:col>
      <xdr:colOff>2114550</xdr:colOff>
      <xdr:row>9</xdr:row>
      <xdr:rowOff>906062</xdr:rowOff>
    </xdr:to>
    <xdr:pic>
      <xdr:nvPicPr>
        <xdr:cNvPr id="4" name="Grafik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5378905" y="5276798"/>
          <a:ext cx="981074" cy="487014"/>
        </a:xfrm>
        <a:prstGeom prst="rect">
          <a:avLst/>
        </a:prstGeom>
      </xdr:spPr>
    </xdr:pic>
    <xdr:clientData/>
  </xdr:twoCellAnchor>
  <xdr:twoCellAnchor>
    <xdr:from>
      <xdr:col>4</xdr:col>
      <xdr:colOff>492125</xdr:colOff>
      <xdr:row>9</xdr:row>
      <xdr:rowOff>381000</xdr:rowOff>
    </xdr:from>
    <xdr:to>
      <xdr:col>11</xdr:col>
      <xdr:colOff>298449</xdr:colOff>
      <xdr:row>9</xdr:row>
      <xdr:rowOff>2574924</xdr:rowOff>
    </xdr:to>
    <xdr:graphicFrame macro="">
      <xdr:nvGraphicFramePr>
        <xdr:cNvPr id="5" name="Diagramm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97451</xdr:colOff>
      <xdr:row>10</xdr:row>
      <xdr:rowOff>566056</xdr:rowOff>
    </xdr:from>
    <xdr:to>
      <xdr:col>3</xdr:col>
      <xdr:colOff>715316</xdr:colOff>
      <xdr:row>11</xdr:row>
      <xdr:rowOff>330894</xdr:rowOff>
    </xdr:to>
    <xdr:pic>
      <xdr:nvPicPr>
        <xdr:cNvPr id="7" name="Grafik 6" descr="Pfeil nach unten - Kostenlose pfeile Icons">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rot="16200000">
          <a:off x="9359536" y="7541828"/>
          <a:ext cx="602584" cy="621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1314450</xdr:colOff>
      <xdr:row>10</xdr:row>
      <xdr:rowOff>485801</xdr:rowOff>
    </xdr:from>
    <xdr:to>
      <xdr:col>5</xdr:col>
      <xdr:colOff>1682750</xdr:colOff>
      <xdr:row>10</xdr:row>
      <xdr:rowOff>857305</xdr:rowOff>
    </xdr:to>
    <xdr:pic>
      <xdr:nvPicPr>
        <xdr:cNvPr id="3" name="Grafik 2" descr="Pfeil nach unten - Kostenlose pfeile Icons">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86750" y="2381276"/>
          <a:ext cx="368300" cy="368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44450</xdr:colOff>
          <xdr:row>16</xdr:row>
          <xdr:rowOff>0</xdr:rowOff>
        </xdr:from>
        <xdr:to>
          <xdr:col>1</xdr:col>
          <xdr:colOff>387350</xdr:colOff>
          <xdr:row>29</xdr:row>
          <xdr:rowOff>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200-0000011C0100}"/>
                </a:ext>
              </a:extLst>
            </xdr:cNvPr>
            <xdr:cNvSpPr/>
          </xdr:nvSpPr>
          <xdr:spPr bwMode="auto">
            <a:xfrm>
              <a:off x="0" y="0"/>
              <a:ext cx="0" cy="0"/>
            </a:xfrm>
            <a:prstGeom prst="rect">
              <a:avLst/>
            </a:prstGeom>
            <a:noFill/>
            <a:ln w="9525">
              <a:miter lim="800000"/>
              <a:headEnd/>
              <a:tailEnd/>
            </a:ln>
          </xdr:spPr>
          <xdr:txBody>
            <a:bodyPr vertOverflow="clip" vert="vert270" wrap="square" lIns="36576" tIns="32004" rIns="36576" bIns="32004" anchor="ctr" upright="1"/>
            <a:lstStyle/>
            <a:p>
              <a:pPr algn="ctr" rtl="0">
                <a:defRPr sz="1000"/>
              </a:pPr>
              <a:r>
                <a:rPr lang="de-DE" sz="1100" b="0" i="0" u="none" strike="noStrike" baseline="0">
                  <a:solidFill>
                    <a:srgbClr val="FF0000"/>
                  </a:solidFill>
                  <a:latin typeface="Liberation Sans"/>
                </a:rPr>
                <a:t>RESET</a:t>
              </a:r>
            </a:p>
          </xdr:txBody>
        </xdr:sp>
        <xdr:clientData fPrintsWithSheet="0"/>
      </xdr:twoCellAnchor>
    </mc:Choice>
    <mc:Fallback/>
  </mc:AlternateContent>
  <xdr:twoCellAnchor>
    <xdr:from>
      <xdr:col>2</xdr:col>
      <xdr:colOff>1254684</xdr:colOff>
      <xdr:row>36</xdr:row>
      <xdr:rowOff>10646</xdr:rowOff>
    </xdr:from>
    <xdr:to>
      <xdr:col>10</xdr:col>
      <xdr:colOff>398557</xdr:colOff>
      <xdr:row>48</xdr:row>
      <xdr:rowOff>80122</xdr:rowOff>
    </xdr:to>
    <xdr:graphicFrame macro="">
      <xdr:nvGraphicFramePr>
        <xdr:cNvPr id="3" name="Diagramm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1301663</xdr:colOff>
      <xdr:row>3</xdr:row>
      <xdr:rowOff>89646</xdr:rowOff>
    </xdr:from>
    <xdr:to>
      <xdr:col>2</xdr:col>
      <xdr:colOff>1533710</xdr:colOff>
      <xdr:row>3</xdr:row>
      <xdr:rowOff>330414</xdr:rowOff>
    </xdr:to>
    <xdr:pic>
      <xdr:nvPicPr>
        <xdr:cNvPr id="2" name="Grafik 1" descr="Pfeil nach unten - Kostenlose pfeile Icons">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10800000">
          <a:off x="1917987" y="739587"/>
          <a:ext cx="232047" cy="237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2615303</xdr:colOff>
      <xdr:row>13</xdr:row>
      <xdr:rowOff>56028</xdr:rowOff>
    </xdr:from>
    <xdr:to>
      <xdr:col>2</xdr:col>
      <xdr:colOff>2820722</xdr:colOff>
      <xdr:row>13</xdr:row>
      <xdr:rowOff>256253</xdr:rowOff>
    </xdr:to>
    <xdr:pic>
      <xdr:nvPicPr>
        <xdr:cNvPr id="4" name="Grafik 3" descr="Pfeil nach unten - Kostenlose pfeile Icons">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16200000">
          <a:off x="3234224" y="1286078"/>
          <a:ext cx="200225" cy="205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2615303</xdr:colOff>
      <xdr:row>13</xdr:row>
      <xdr:rowOff>56028</xdr:rowOff>
    </xdr:from>
    <xdr:to>
      <xdr:col>2</xdr:col>
      <xdr:colOff>2820722</xdr:colOff>
      <xdr:row>13</xdr:row>
      <xdr:rowOff>259428</xdr:rowOff>
    </xdr:to>
    <xdr:pic>
      <xdr:nvPicPr>
        <xdr:cNvPr id="7" name="Grafik 6" descr="Pfeil nach unten - Kostenlose pfeile Icons">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16200000">
          <a:off x="3232636" y="1287666"/>
          <a:ext cx="200225" cy="2022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2222501</xdr:colOff>
      <xdr:row>25</xdr:row>
      <xdr:rowOff>112060</xdr:rowOff>
    </xdr:from>
    <xdr:to>
      <xdr:col>3</xdr:col>
      <xdr:colOff>2424745</xdr:colOff>
      <xdr:row>26</xdr:row>
      <xdr:rowOff>35873</xdr:rowOff>
    </xdr:to>
    <xdr:pic>
      <xdr:nvPicPr>
        <xdr:cNvPr id="8" name="Grafik 7" descr="Pfeil nach unten - Kostenlose pfeile Icons">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16200000">
          <a:off x="5697334" y="2740698"/>
          <a:ext cx="200225" cy="2022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186764</xdr:colOff>
      <xdr:row>35</xdr:row>
      <xdr:rowOff>7471</xdr:rowOff>
    </xdr:from>
    <xdr:to>
      <xdr:col>2</xdr:col>
      <xdr:colOff>125853</xdr:colOff>
      <xdr:row>37</xdr:row>
      <xdr:rowOff>332891</xdr:rowOff>
    </xdr:to>
    <xdr:pic>
      <xdr:nvPicPr>
        <xdr:cNvPr id="5" name="Grafik 4" descr="Pfeil nach unten - Kostenlose pfeile Icons">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10800000">
          <a:off x="186764" y="4706471"/>
          <a:ext cx="559148" cy="624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2225490</xdr:colOff>
      <xdr:row>15</xdr:row>
      <xdr:rowOff>115048</xdr:rowOff>
    </xdr:from>
    <xdr:to>
      <xdr:col>3</xdr:col>
      <xdr:colOff>2427734</xdr:colOff>
      <xdr:row>15</xdr:row>
      <xdr:rowOff>315273</xdr:rowOff>
    </xdr:to>
    <xdr:pic>
      <xdr:nvPicPr>
        <xdr:cNvPr id="6" name="Grafik 5" descr="Pfeil nach unten - Kostenlose pfeile Icons">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16200000">
          <a:off x="5700323" y="2258098"/>
          <a:ext cx="200225" cy="2022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790139</xdr:colOff>
      <xdr:row>1</xdr:row>
      <xdr:rowOff>230872</xdr:rowOff>
    </xdr:from>
    <xdr:to>
      <xdr:col>18</xdr:col>
      <xdr:colOff>451426</xdr:colOff>
      <xdr:row>13</xdr:row>
      <xdr:rowOff>1209099</xdr:rowOff>
    </xdr:to>
    <mc:AlternateContent xmlns:mc="http://schemas.openxmlformats.org/markup-compatibility/2006">
      <mc:Choice xmlns:cx1="http://schemas.microsoft.com/office/drawing/2015/9/8/chartex" Requires="cx1">
        <xdr:graphicFrame macro="">
          <xdr:nvGraphicFramePr>
            <xdr:cNvPr id="2" name="Graphique 6">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442014" y="926197"/>
              <a:ext cx="5322312" cy="341027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editAs="oneCell">
    <xdr:from>
      <xdr:col>10</xdr:col>
      <xdr:colOff>91748</xdr:colOff>
      <xdr:row>20</xdr:row>
      <xdr:rowOff>8843</xdr:rowOff>
    </xdr:from>
    <xdr:to>
      <xdr:col>10</xdr:col>
      <xdr:colOff>335131</xdr:colOff>
      <xdr:row>20</xdr:row>
      <xdr:rowOff>231365</xdr:rowOff>
    </xdr:to>
    <xdr:pic>
      <xdr:nvPicPr>
        <xdr:cNvPr id="3" name="Grafik 2" descr="Pfeil nach unten - Kostenlose pfeile Icons">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39666" y="6953250"/>
          <a:ext cx="219347" cy="24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91748</xdr:colOff>
      <xdr:row>20</xdr:row>
      <xdr:rowOff>8843</xdr:rowOff>
    </xdr:from>
    <xdr:to>
      <xdr:col>10</xdr:col>
      <xdr:colOff>331956</xdr:colOff>
      <xdr:row>20</xdr:row>
      <xdr:rowOff>231365</xdr:rowOff>
    </xdr:to>
    <xdr:pic>
      <xdr:nvPicPr>
        <xdr:cNvPr id="4" name="Grafik 3" descr="Pfeil nach unten - Kostenlose pfeile Icons">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41253" y="6951663"/>
          <a:ext cx="219347" cy="2465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66925</xdr:colOff>
      <xdr:row>29</xdr:row>
      <xdr:rowOff>22842</xdr:rowOff>
    </xdr:from>
    <xdr:to>
      <xdr:col>10</xdr:col>
      <xdr:colOff>316658</xdr:colOff>
      <xdr:row>30</xdr:row>
      <xdr:rowOff>69008</xdr:rowOff>
    </xdr:to>
    <xdr:pic>
      <xdr:nvPicPr>
        <xdr:cNvPr id="5" name="Grafik 4" descr="Pfeil nach unten - Kostenlose pfeile Icons">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22059" y="9960408"/>
          <a:ext cx="211265" cy="249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19</xdr:row>
      <xdr:rowOff>28864</xdr:rowOff>
    </xdr:from>
    <xdr:to>
      <xdr:col>5</xdr:col>
      <xdr:colOff>42124</xdr:colOff>
      <xdr:row>20</xdr:row>
      <xdr:rowOff>70201</xdr:rowOff>
    </xdr:to>
    <xdr:pic>
      <xdr:nvPicPr>
        <xdr:cNvPr id="6" name="Grafik 5" descr="Pfeil nach unten - Kostenlose pfeile Icons">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12159" y="5635625"/>
          <a:ext cx="222522" cy="24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15</xdr:col>
      <xdr:colOff>280988</xdr:colOff>
      <xdr:row>0</xdr:row>
      <xdr:rowOff>476250</xdr:rowOff>
    </xdr:from>
    <xdr:ext cx="281851" cy="304252"/>
    <xdr:pic>
      <xdr:nvPicPr>
        <xdr:cNvPr id="8" name="Grafik 7" descr="Pfeil nach unten - Kostenlose pfeile Icons">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143943" y="476250"/>
          <a:ext cx="281851" cy="30425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xdr:twoCellAnchor>
    <xdr:from>
      <xdr:col>8</xdr:col>
      <xdr:colOff>66675</xdr:colOff>
      <xdr:row>37</xdr:row>
      <xdr:rowOff>82550</xdr:rowOff>
    </xdr:from>
    <xdr:to>
      <xdr:col>16</xdr:col>
      <xdr:colOff>123825</xdr:colOff>
      <xdr:row>51</xdr:row>
      <xdr:rowOff>28575</xdr:rowOff>
    </xdr:to>
    <xdr:graphicFrame macro="">
      <xdr:nvGraphicFramePr>
        <xdr:cNvPr id="4" name="Graphique 9">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790139</xdr:colOff>
      <xdr:row>1</xdr:row>
      <xdr:rowOff>230872</xdr:rowOff>
    </xdr:from>
    <xdr:to>
      <xdr:col>18</xdr:col>
      <xdr:colOff>451426</xdr:colOff>
      <xdr:row>13</xdr:row>
      <xdr:rowOff>1209099</xdr:rowOff>
    </xdr:to>
    <mc:AlternateContent xmlns:mc="http://schemas.openxmlformats.org/markup-compatibility/2006">
      <mc:Choice xmlns:cx1="http://schemas.microsoft.com/office/drawing/2015/9/8/chartex" Requires="cx1">
        <xdr:graphicFrame macro="">
          <xdr:nvGraphicFramePr>
            <xdr:cNvPr id="7" name="Graphique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442014" y="926197"/>
              <a:ext cx="5322312" cy="457232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editAs="oneCell">
    <xdr:from>
      <xdr:col>10</xdr:col>
      <xdr:colOff>91748</xdr:colOff>
      <xdr:row>20</xdr:row>
      <xdr:rowOff>8843</xdr:rowOff>
    </xdr:from>
    <xdr:to>
      <xdr:col>10</xdr:col>
      <xdr:colOff>331956</xdr:colOff>
      <xdr:row>20</xdr:row>
      <xdr:rowOff>231365</xdr:rowOff>
    </xdr:to>
    <xdr:pic>
      <xdr:nvPicPr>
        <xdr:cNvPr id="2" name="Grafik 1" descr="Pfeil nach unten - Kostenlose pfeile Icons">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57129" y="7556644"/>
          <a:ext cx="222522" cy="237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91748</xdr:colOff>
      <xdr:row>20</xdr:row>
      <xdr:rowOff>8843</xdr:rowOff>
    </xdr:from>
    <xdr:to>
      <xdr:col>10</xdr:col>
      <xdr:colOff>335131</xdr:colOff>
      <xdr:row>20</xdr:row>
      <xdr:rowOff>231365</xdr:rowOff>
    </xdr:to>
    <xdr:pic>
      <xdr:nvPicPr>
        <xdr:cNvPr id="3" name="Grafik 2" descr="Pfeil nach unten - Kostenlose pfeile Icons">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61891" y="7551882"/>
          <a:ext cx="219347" cy="24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66925</xdr:colOff>
      <xdr:row>32</xdr:row>
      <xdr:rowOff>22842</xdr:rowOff>
    </xdr:from>
    <xdr:to>
      <xdr:col>10</xdr:col>
      <xdr:colOff>313483</xdr:colOff>
      <xdr:row>33</xdr:row>
      <xdr:rowOff>65832</xdr:rowOff>
    </xdr:to>
    <xdr:pic>
      <xdr:nvPicPr>
        <xdr:cNvPr id="4" name="Grafik 3" descr="Pfeil nach unten - Kostenlose pfeile Icons">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rot="5400000">
          <a:off x="7937068" y="10574915"/>
          <a:ext cx="219347" cy="24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14</xdr:col>
      <xdr:colOff>552017</xdr:colOff>
      <xdr:row>8</xdr:row>
      <xdr:rowOff>125808</xdr:rowOff>
    </xdr:from>
    <xdr:to>
      <xdr:col>18</xdr:col>
      <xdr:colOff>768493</xdr:colOff>
      <xdr:row>18</xdr:row>
      <xdr:rowOff>71295</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381692" y="1875233"/>
              <a:ext cx="3458151" cy="377453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editAs="oneCell">
    <xdr:from>
      <xdr:col>5</xdr:col>
      <xdr:colOff>737322</xdr:colOff>
      <xdr:row>13</xdr:row>
      <xdr:rowOff>209286</xdr:rowOff>
    </xdr:from>
    <xdr:to>
      <xdr:col>8</xdr:col>
      <xdr:colOff>150234</xdr:colOff>
      <xdr:row>13</xdr:row>
      <xdr:rowOff>579603</xdr:rowOff>
    </xdr:to>
    <xdr:pic>
      <xdr:nvPicPr>
        <xdr:cNvPr id="3" name="Grafik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3410816" y="3781161"/>
          <a:ext cx="1123083" cy="37666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616960</xdr:colOff>
      <xdr:row>3</xdr:row>
      <xdr:rowOff>240614</xdr:rowOff>
    </xdr:from>
    <xdr:to>
      <xdr:col>15</xdr:col>
      <xdr:colOff>354011</xdr:colOff>
      <xdr:row>14</xdr:row>
      <xdr:rowOff>476249</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211310" y="961339"/>
              <a:ext cx="3778826" cy="3610660"/>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14</xdr:col>
      <xdr:colOff>43295</xdr:colOff>
      <xdr:row>9</xdr:row>
      <xdr:rowOff>227301</xdr:rowOff>
    </xdr:from>
    <xdr:to>
      <xdr:col>18</xdr:col>
      <xdr:colOff>588961</xdr:colOff>
      <xdr:row>17</xdr:row>
      <xdr:rowOff>76452</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323945" y="2208501"/>
              <a:ext cx="3780991" cy="3621051"/>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184004</xdr:colOff>
      <xdr:row>2</xdr:row>
      <xdr:rowOff>36042</xdr:rowOff>
    </xdr:from>
    <xdr:to>
      <xdr:col>17</xdr:col>
      <xdr:colOff>444030</xdr:colOff>
      <xdr:row>19</xdr:row>
      <xdr:rowOff>33774</xdr:rowOff>
    </xdr:to>
    <mc:AlternateContent xmlns:mc="http://schemas.openxmlformats.org/markup-compatibility/2006">
      <mc:Choice xmlns:cx1="http://schemas.microsoft.com/office/drawing/2015/9/8/chartex" Requires="cx1">
        <xdr:graphicFrame macro="">
          <xdr:nvGraphicFramePr>
            <xdr:cNvPr id="2" name="Graphique 6">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581629" y="1036167"/>
              <a:ext cx="5124126" cy="502375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199303</xdr:colOff>
      <xdr:row>3</xdr:row>
      <xdr:rowOff>275071</xdr:rowOff>
    </xdr:from>
    <xdr:to>
      <xdr:col>17</xdr:col>
      <xdr:colOff>638609</xdr:colOff>
      <xdr:row>16</xdr:row>
      <xdr:rowOff>83416</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603278" y="1002146"/>
              <a:ext cx="5290706" cy="5437620"/>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414482</xdr:colOff>
      <xdr:row>9</xdr:row>
      <xdr:rowOff>44306</xdr:rowOff>
    </xdr:from>
    <xdr:to>
      <xdr:col>17</xdr:col>
      <xdr:colOff>310717</xdr:colOff>
      <xdr:row>19</xdr:row>
      <xdr:rowOff>148360</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812107" y="1781031"/>
              <a:ext cx="4760335" cy="4736379"/>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429779</xdr:colOff>
      <xdr:row>10</xdr:row>
      <xdr:rowOff>29297</xdr:rowOff>
    </xdr:from>
    <xdr:to>
      <xdr:col>17</xdr:col>
      <xdr:colOff>281421</xdr:colOff>
      <xdr:row>15</xdr:row>
      <xdr:rowOff>378835</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827404" y="2150197"/>
              <a:ext cx="4709392" cy="4067463"/>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487074</xdr:colOff>
      <xdr:row>3</xdr:row>
      <xdr:rowOff>119886</xdr:rowOff>
    </xdr:from>
    <xdr:to>
      <xdr:col>19</xdr:col>
      <xdr:colOff>1</xdr:colOff>
      <xdr:row>13</xdr:row>
      <xdr:rowOff>1223098</xdr:rowOff>
    </xdr:to>
    <mc:AlternateContent xmlns:mc="http://schemas.openxmlformats.org/markup-compatibility/2006">
      <mc:Choice xmlns:cx1="http://schemas.microsoft.com/office/drawing/2015/9/8/chartex" Requires="cx1">
        <xdr:graphicFrame macro="">
          <xdr:nvGraphicFramePr>
            <xdr:cNvPr id="3" name="Graphique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694324" y="846961"/>
              <a:ext cx="5183477" cy="3598762"/>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10</xdr:col>
      <xdr:colOff>108240</xdr:colOff>
      <xdr:row>0</xdr:row>
      <xdr:rowOff>48592</xdr:rowOff>
    </xdr:from>
    <xdr:to>
      <xdr:col>15</xdr:col>
      <xdr:colOff>630960</xdr:colOff>
      <xdr:row>13</xdr:row>
      <xdr:rowOff>974149</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696240" y="45417"/>
              <a:ext cx="4574020" cy="427200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86592</xdr:colOff>
      <xdr:row>4</xdr:row>
      <xdr:rowOff>60447</xdr:rowOff>
    </xdr:from>
    <xdr:to>
      <xdr:col>18</xdr:col>
      <xdr:colOff>238126</xdr:colOff>
      <xdr:row>14</xdr:row>
      <xdr:rowOff>548843</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484217" y="1282822"/>
              <a:ext cx="5818909" cy="4701621"/>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151534</xdr:colOff>
      <xdr:row>4</xdr:row>
      <xdr:rowOff>136214</xdr:rowOff>
    </xdr:from>
    <xdr:to>
      <xdr:col>15</xdr:col>
      <xdr:colOff>757670</xdr:colOff>
      <xdr:row>14</xdr:row>
      <xdr:rowOff>624610</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552334" y="1307789"/>
              <a:ext cx="3841461" cy="4104721"/>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259773</xdr:colOff>
      <xdr:row>2</xdr:row>
      <xdr:rowOff>49623</xdr:rowOff>
    </xdr:from>
    <xdr:to>
      <xdr:col>16</xdr:col>
      <xdr:colOff>54119</xdr:colOff>
      <xdr:row>14</xdr:row>
      <xdr:rowOff>7650</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657398" y="598898"/>
              <a:ext cx="3845646" cy="4117277"/>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19.xml><?xml version="1.0" encoding="utf-8"?>
<xdr:wsDr xmlns:xdr="http://schemas.openxmlformats.org/drawingml/2006/spreadsheetDrawing" xmlns:a="http://schemas.openxmlformats.org/drawingml/2006/main">
  <xdr:twoCellAnchor>
    <xdr:from>
      <xdr:col>10</xdr:col>
      <xdr:colOff>357188</xdr:colOff>
      <xdr:row>4</xdr:row>
      <xdr:rowOff>22471</xdr:rowOff>
    </xdr:from>
    <xdr:to>
      <xdr:col>16</xdr:col>
      <xdr:colOff>259773</xdr:colOff>
      <xdr:row>14</xdr:row>
      <xdr:rowOff>226376</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945188" y="1292471"/>
              <a:ext cx="4760335" cy="4306005"/>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241299</xdr:colOff>
      <xdr:row>6</xdr:row>
      <xdr:rowOff>122238</xdr:rowOff>
    </xdr:from>
    <xdr:to>
      <xdr:col>19</xdr:col>
      <xdr:colOff>140710</xdr:colOff>
      <xdr:row>17</xdr:row>
      <xdr:rowOff>135787</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448549" y="1592263"/>
              <a:ext cx="4763511" cy="4306149"/>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123537</xdr:colOff>
      <xdr:row>2</xdr:row>
      <xdr:rowOff>104011</xdr:rowOff>
    </xdr:from>
    <xdr:to>
      <xdr:col>18</xdr:col>
      <xdr:colOff>248949</xdr:colOff>
      <xdr:row>14</xdr:row>
      <xdr:rowOff>151534</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146762" y="659636"/>
              <a:ext cx="4722812" cy="3901973"/>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0</xdr:colOff>
      <xdr:row>13</xdr:row>
      <xdr:rowOff>0</xdr:rowOff>
    </xdr:from>
    <xdr:to>
      <xdr:col>18</xdr:col>
      <xdr:colOff>674254</xdr:colOff>
      <xdr:row>25</xdr:row>
      <xdr:rowOff>141763</xdr:rowOff>
    </xdr:to>
    <mc:AlternateContent xmlns:mc="http://schemas.openxmlformats.org/markup-compatibility/2006">
      <mc:Choice xmlns:cx1="http://schemas.microsoft.com/office/drawing/2015/9/8/chartex" Requires="cx1">
        <xdr:graphicFrame macro="">
          <xdr:nvGraphicFramePr>
            <xdr:cNvPr id="3" name="Graphique 1">
              <a:extLst>
                <a:ext uri="{FF2B5EF4-FFF2-40B4-BE49-F238E27FC236}">
                  <a16:creationId xmlns:a16="http://schemas.microsoft.com/office/drawing/2014/main" id="{00000000-0008-0000-17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020050" y="4429125"/>
              <a:ext cx="4725554" cy="4878863"/>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3.xml><?xml version="1.0" encoding="utf-8"?>
<xdr:wsDr xmlns:xdr="http://schemas.openxmlformats.org/drawingml/2006/spreadsheetDrawing" xmlns:a="http://schemas.openxmlformats.org/drawingml/2006/main">
  <xdr:twoCellAnchor>
    <xdr:from>
      <xdr:col>10</xdr:col>
      <xdr:colOff>0</xdr:colOff>
      <xdr:row>4</xdr:row>
      <xdr:rowOff>167655</xdr:rowOff>
    </xdr:from>
    <xdr:to>
      <xdr:col>10</xdr:col>
      <xdr:colOff>5912</xdr:colOff>
      <xdr:row>15</xdr:row>
      <xdr:rowOff>23898</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115050" y="1212230"/>
              <a:ext cx="9087" cy="3148718"/>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24.xml><?xml version="1.0" encoding="utf-8"?>
<xdr:wsDr xmlns:xdr="http://schemas.openxmlformats.org/drawingml/2006/spreadsheetDrawing" xmlns:a="http://schemas.openxmlformats.org/drawingml/2006/main">
  <xdr:twoCellAnchor>
    <xdr:from>
      <xdr:col>10</xdr:col>
      <xdr:colOff>0</xdr:colOff>
      <xdr:row>4</xdr:row>
      <xdr:rowOff>167655</xdr:rowOff>
    </xdr:from>
    <xdr:to>
      <xdr:col>10</xdr:col>
      <xdr:colOff>5912</xdr:colOff>
      <xdr:row>15</xdr:row>
      <xdr:rowOff>23898</xdr:rowOff>
    </xdr:to>
    <mc:AlternateContent xmlns:mc="http://schemas.openxmlformats.org/markup-compatibility/2006">
      <mc:Choice xmlns:cx1="http://schemas.microsoft.com/office/drawing/2015/9/8/chartex" Requires="cx1">
        <xdr:graphicFrame macro="">
          <xdr:nvGraphicFramePr>
            <xdr:cNvPr id="2" name="Graphique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115050" y="1212230"/>
              <a:ext cx="9087" cy="4910843"/>
            </a:xfrm>
            <a:prstGeom prst="rect">
              <a:avLst/>
            </a:prstGeom>
            <a:solidFill>
              <a:prstClr val="white"/>
            </a:solidFill>
            <a:ln w="1">
              <a:solidFill>
                <a:prstClr val="green"/>
              </a:solidFill>
            </a:ln>
          </xdr:spPr>
          <xdr:txBody>
            <a:bodyPr vertOverflow="clip" horzOverflow="clip"/>
            <a:lstStyle/>
            <a:p>
              <a:r>
                <a:rPr lang="de-DE"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projects@ceacc.tu-berlin.de"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oxfam.app.box.com/s/t3yktiwm4pk165byd12l1ghpin9bulzp" TargetMode="External"/><Relationship Id="rId1" Type="http://schemas.openxmlformats.org/officeDocument/2006/relationships/hyperlink" Target="https://wastetransformers.sharepoint.com/:b:/r/sites/OperationsTechnical/Shared%20Documents/08.%20Operations/3.0%20Technical%20Documents%20%26%20Brochures/Site%20Safety%20Documents%20(Dutch).pdf?csf=1&amp;web=1&amp;e=yNCLoa"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E53E1-0162-46A3-B881-B771F152EB88}">
  <sheetPr>
    <tabColor rgb="FFFFC000"/>
  </sheetPr>
  <dimension ref="B1:L16"/>
  <sheetViews>
    <sheetView showGridLines="0" tabSelected="1" zoomScale="70" zoomScaleNormal="70" workbookViewId="0">
      <selection activeCell="B8" sqref="B8"/>
    </sheetView>
  </sheetViews>
  <sheetFormatPr baseColWidth="10" defaultRowHeight="14.5"/>
  <cols>
    <col min="2" max="2" width="49.90625" customWidth="1"/>
    <col min="3" max="3" width="71.6328125" customWidth="1"/>
    <col min="6" max="6" width="16.6328125" customWidth="1"/>
  </cols>
  <sheetData>
    <row r="1" spans="2:12">
      <c r="D1" s="231"/>
    </row>
    <row r="2" spans="2:12">
      <c r="D2" s="231"/>
    </row>
    <row r="5" spans="2:12" ht="28.5">
      <c r="B5" s="210" t="s">
        <v>315</v>
      </c>
    </row>
    <row r="7" spans="2:12">
      <c r="B7" s="201"/>
      <c r="C7" s="202" t="s">
        <v>311</v>
      </c>
    </row>
    <row r="8" spans="2:12" ht="121" customHeight="1" thickBot="1">
      <c r="B8" s="203" t="s">
        <v>312</v>
      </c>
      <c r="C8" s="211" t="s">
        <v>376</v>
      </c>
    </row>
    <row r="9" spans="2:12" ht="148.5" customHeight="1">
      <c r="B9" s="203" t="s">
        <v>314</v>
      </c>
      <c r="C9" s="204" t="s">
        <v>369</v>
      </c>
      <c r="E9" s="240" t="s">
        <v>319</v>
      </c>
      <c r="F9" s="241"/>
      <c r="G9" s="241"/>
      <c r="H9" s="241"/>
      <c r="I9" s="241"/>
      <c r="J9" s="241"/>
      <c r="K9" s="241"/>
      <c r="L9" s="242"/>
    </row>
    <row r="10" spans="2:12" ht="298.5" customHeight="1" thickBot="1">
      <c r="B10" s="203" t="s">
        <v>316</v>
      </c>
      <c r="C10" s="204" t="s">
        <v>366</v>
      </c>
      <c r="E10" s="219"/>
      <c r="F10" s="246"/>
      <c r="G10" s="246"/>
      <c r="H10" s="246"/>
      <c r="I10" s="218"/>
      <c r="L10" s="220"/>
    </row>
    <row r="11" spans="2:12" ht="66" customHeight="1" thickBot="1">
      <c r="B11" s="243" t="s">
        <v>319</v>
      </c>
      <c r="C11" s="256" t="s">
        <v>378</v>
      </c>
      <c r="E11" s="219"/>
      <c r="F11" s="247" t="str">
        <f>'1. Criteria'!$C$5</f>
        <v>Anarobic digester and CHP</v>
      </c>
      <c r="G11" s="248"/>
      <c r="H11" s="249"/>
      <c r="I11" s="217">
        <f>Ranking_calc!E51</f>
        <v>1</v>
      </c>
      <c r="J11" s="73">
        <f>Ranking_calc!E53</f>
        <v>11</v>
      </c>
      <c r="K11" s="217">
        <f>Ranking_calc!E52</f>
        <v>6</v>
      </c>
      <c r="L11" s="220"/>
    </row>
    <row r="12" spans="2:12" ht="33.5" customHeight="1" thickBot="1">
      <c r="B12" s="244"/>
      <c r="C12" s="257"/>
      <c r="E12" s="219"/>
      <c r="F12" s="250" t="str">
        <f>'1. Criteria'!$C$6</f>
        <v>PV</v>
      </c>
      <c r="G12" s="251"/>
      <c r="H12" s="252"/>
      <c r="I12" s="65">
        <f>Ranking_calc!F51</f>
        <v>3</v>
      </c>
      <c r="J12" s="157">
        <f>Ranking_calc!F53</f>
        <v>6</v>
      </c>
      <c r="K12" s="65">
        <f>Ranking_calc!F52</f>
        <v>7</v>
      </c>
      <c r="L12" s="220"/>
    </row>
    <row r="13" spans="2:12" ht="15" thickBot="1">
      <c r="B13" s="206"/>
      <c r="C13" s="206"/>
      <c r="E13" s="219"/>
      <c r="F13" s="253" t="str">
        <f>'1. Criteria'!$C$7</f>
        <v>Stand-alone DG</v>
      </c>
      <c r="G13" s="254"/>
      <c r="H13" s="255"/>
      <c r="I13" s="216">
        <f>Ranking_calc!G51</f>
        <v>2</v>
      </c>
      <c r="J13" s="157">
        <f>Ranking_calc!G53</f>
        <v>6</v>
      </c>
      <c r="K13" s="65">
        <f>Ranking_calc!G52</f>
        <v>8</v>
      </c>
      <c r="L13" s="220"/>
    </row>
    <row r="14" spans="2:12" ht="28.5" thickBot="1">
      <c r="B14" s="205"/>
      <c r="C14" s="207"/>
      <c r="E14" s="219"/>
      <c r="I14" s="213" t="s">
        <v>126</v>
      </c>
      <c r="J14" s="214" t="s">
        <v>128</v>
      </c>
      <c r="K14" s="215" t="s">
        <v>127</v>
      </c>
      <c r="L14" s="220"/>
    </row>
    <row r="15" spans="2:12" ht="25.5" thickBot="1">
      <c r="B15" s="245"/>
      <c r="C15" s="208" t="s">
        <v>379</v>
      </c>
      <c r="E15" s="221"/>
      <c r="F15" s="218"/>
      <c r="G15" s="218"/>
      <c r="H15" s="218"/>
      <c r="I15" s="218"/>
      <c r="J15" s="218"/>
      <c r="K15" s="218"/>
      <c r="L15" s="222"/>
    </row>
    <row r="16" spans="2:12">
      <c r="B16" s="245"/>
      <c r="C16" s="209" t="s">
        <v>313</v>
      </c>
    </row>
  </sheetData>
  <mergeCells count="8">
    <mergeCell ref="E9:L9"/>
    <mergeCell ref="B11:B12"/>
    <mergeCell ref="B15:B16"/>
    <mergeCell ref="F10:H10"/>
    <mergeCell ref="F11:H11"/>
    <mergeCell ref="F12:H12"/>
    <mergeCell ref="F13:H13"/>
    <mergeCell ref="C11:C12"/>
  </mergeCells>
  <conditionalFormatting sqref="K11:K13">
    <cfRule type="colorScale" priority="3">
      <colorScale>
        <cfvo type="min"/>
        <cfvo type="max"/>
        <color rgb="FFFCFCFF"/>
        <color rgb="FFF8696B"/>
      </colorScale>
    </cfRule>
    <cfRule type="colorScale" priority="8">
      <colorScale>
        <cfvo type="num" val="1"/>
        <cfvo type="num" val="3"/>
        <cfvo type="num" val="4"/>
        <color theme="7"/>
        <color theme="7" tint="0.59999389629810485"/>
        <color theme="0" tint="-0.249977111117893"/>
      </colorScale>
    </cfRule>
  </conditionalFormatting>
  <conditionalFormatting sqref="K11:K13">
    <cfRule type="colorScale" priority="2488">
      <colorScale>
        <cfvo type="min"/>
        <cfvo type="percentile" val="50"/>
        <cfvo type="max"/>
        <color rgb="FF63BE7B"/>
        <color rgb="FFFFEB84"/>
        <color rgb="FFF8696B"/>
      </colorScale>
    </cfRule>
  </conditionalFormatting>
  <conditionalFormatting sqref="J11:J13">
    <cfRule type="colorScale" priority="2">
      <colorScale>
        <cfvo type="min"/>
        <cfvo type="max"/>
        <color rgb="FFFCFCFF"/>
        <color rgb="FF63BE7B"/>
      </colorScale>
    </cfRule>
  </conditionalFormatting>
  <conditionalFormatting sqref="I11:I13">
    <cfRule type="colorScale" priority="1">
      <colorScale>
        <cfvo type="min"/>
        <cfvo type="percentile" val="50"/>
        <cfvo type="max"/>
        <color rgb="FF63BE7B"/>
        <color rgb="FFFFEB84"/>
        <color rgb="FFF8696B"/>
      </colorScale>
    </cfRule>
  </conditionalFormatting>
  <hyperlinks>
    <hyperlink ref="C16" r:id="rId1" xr:uid="{D8411649-03C2-488B-BEF4-0FC7380A92A8}"/>
  </hyperlinks>
  <pageMargins left="0.7" right="0.7" top="0.78740157499999996" bottom="0.78740157499999996"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tabColor theme="8"/>
  </sheetPr>
  <dimension ref="B1:M34"/>
  <sheetViews>
    <sheetView showGridLines="0" zoomScaleNormal="100" workbookViewId="0">
      <selection activeCell="H15" sqref="H15"/>
    </sheetView>
  </sheetViews>
  <sheetFormatPr baseColWidth="10" defaultColWidth="11.54296875" defaultRowHeight="12.5"/>
  <cols>
    <col min="1" max="1" width="2.7265625" style="23" customWidth="1"/>
    <col min="2" max="2" width="11.54296875" style="23"/>
    <col min="3" max="3" width="38.81640625" style="23" customWidth="1"/>
    <col min="4" max="4" width="18.1796875" style="23" customWidth="1"/>
    <col min="5" max="5" width="28.54296875" style="23" customWidth="1"/>
    <col min="6" max="6" width="24.7265625" style="23" customWidth="1"/>
    <col min="7" max="7" width="22.1796875" style="23" customWidth="1"/>
    <col min="8" max="16384" width="11.54296875" style="23"/>
  </cols>
  <sheetData>
    <row r="1" spans="2:13" ht="13" thickBot="1"/>
    <row r="2" spans="2:13" ht="19.899999999999999" customHeight="1" thickBot="1">
      <c r="B2" s="258" t="s">
        <v>318</v>
      </c>
      <c r="C2" s="259"/>
      <c r="D2" s="259"/>
      <c r="E2" s="260"/>
      <c r="F2" s="162"/>
    </row>
    <row r="3" spans="2:13" ht="13" thickBot="1"/>
    <row r="4" spans="2:13" ht="18" customHeight="1" thickBot="1">
      <c r="B4" s="120" t="s">
        <v>95</v>
      </c>
      <c r="C4" s="121" t="s">
        <v>15</v>
      </c>
      <c r="D4" s="120" t="s">
        <v>96</v>
      </c>
      <c r="E4" s="120" t="s">
        <v>106</v>
      </c>
      <c r="F4" s="148"/>
    </row>
    <row r="5" spans="2:13" ht="13.5" thickBot="1">
      <c r="B5" s="27" t="s">
        <v>144</v>
      </c>
      <c r="C5" s="30" t="s">
        <v>329</v>
      </c>
      <c r="D5" s="31" t="s">
        <v>97</v>
      </c>
      <c r="E5" s="31" t="s">
        <v>258</v>
      </c>
      <c r="F5" s="25"/>
    </row>
    <row r="6" spans="2:13" ht="13.5" thickBot="1">
      <c r="B6" s="165" t="s">
        <v>145</v>
      </c>
      <c r="C6" s="30" t="s">
        <v>330</v>
      </c>
      <c r="D6" s="166" t="s">
        <v>97</v>
      </c>
      <c r="E6" s="31" t="s">
        <v>258</v>
      </c>
      <c r="F6" s="25"/>
    </row>
    <row r="7" spans="2:13" ht="13.5" thickBot="1">
      <c r="B7" s="165" t="s">
        <v>149</v>
      </c>
      <c r="C7" s="142" t="s">
        <v>256</v>
      </c>
      <c r="D7" s="166" t="s">
        <v>257</v>
      </c>
      <c r="E7" s="166" t="s">
        <v>258</v>
      </c>
      <c r="F7" s="25"/>
    </row>
    <row r="8" spans="2:13" ht="13">
      <c r="B8" s="148"/>
      <c r="D8" s="25"/>
      <c r="E8" s="25"/>
      <c r="F8" s="25"/>
    </row>
    <row r="9" spans="2:13" ht="13.5" thickBot="1">
      <c r="D9" s="26"/>
    </row>
    <row r="10" spans="2:13" ht="19.899999999999999" customHeight="1" thickBot="1">
      <c r="B10" s="258" t="s">
        <v>93</v>
      </c>
      <c r="C10" s="259"/>
      <c r="D10" s="259"/>
      <c r="E10" s="259"/>
      <c r="F10" s="260"/>
    </row>
    <row r="11" spans="2:13" ht="69.5" customHeight="1" thickBot="1">
      <c r="F11" s="212" t="s">
        <v>317</v>
      </c>
    </row>
    <row r="12" spans="2:13" ht="18" customHeight="1" thickBot="1">
      <c r="B12" s="47" t="s">
        <v>95</v>
      </c>
      <c r="C12" s="122" t="s">
        <v>73</v>
      </c>
      <c r="D12" s="47" t="s">
        <v>104</v>
      </c>
      <c r="E12" s="120" t="s">
        <v>105</v>
      </c>
      <c r="F12" s="47" t="s">
        <v>94</v>
      </c>
      <c r="H12" s="261"/>
      <c r="I12" s="261"/>
      <c r="J12" s="261"/>
      <c r="K12" s="261"/>
      <c r="M12" s="24"/>
    </row>
    <row r="13" spans="2:13" ht="27" customHeight="1" thickBot="1">
      <c r="B13" s="45" t="s">
        <v>0</v>
      </c>
      <c r="C13" s="30" t="s">
        <v>280</v>
      </c>
      <c r="D13" s="46" t="s">
        <v>100</v>
      </c>
      <c r="E13" s="10" t="s">
        <v>183</v>
      </c>
      <c r="F13" s="31" t="s">
        <v>98</v>
      </c>
    </row>
    <row r="14" spans="2:13" ht="15.5" customHeight="1" thickBot="1">
      <c r="B14" s="32" t="s">
        <v>89</v>
      </c>
      <c r="C14" s="30" t="s">
        <v>276</v>
      </c>
      <c r="D14" s="41" t="s">
        <v>100</v>
      </c>
      <c r="E14" s="10" t="s">
        <v>189</v>
      </c>
      <c r="F14" s="28" t="s">
        <v>98</v>
      </c>
    </row>
    <row r="15" spans="2:13" ht="15" thickBot="1">
      <c r="B15" s="144" t="s">
        <v>90</v>
      </c>
      <c r="C15" s="30" t="s">
        <v>172</v>
      </c>
      <c r="D15" s="41" t="s">
        <v>100</v>
      </c>
      <c r="E15" s="28" t="s">
        <v>101</v>
      </c>
      <c r="F15" s="28" t="s">
        <v>98</v>
      </c>
    </row>
    <row r="16" spans="2:13" ht="13.5" hidden="1" thickBot="1">
      <c r="B16" s="32" t="s">
        <v>81</v>
      </c>
      <c r="C16" s="30" t="s">
        <v>173</v>
      </c>
      <c r="D16" s="41" t="s">
        <v>100</v>
      </c>
      <c r="E16" s="28" t="s">
        <v>135</v>
      </c>
      <c r="F16" s="28" t="s">
        <v>99</v>
      </c>
    </row>
    <row r="17" spans="2:6" ht="13.5" thickBot="1">
      <c r="B17" s="45" t="s">
        <v>77</v>
      </c>
      <c r="C17" s="30" t="s">
        <v>260</v>
      </c>
      <c r="D17" s="47" t="s">
        <v>102</v>
      </c>
      <c r="E17" s="31" t="s">
        <v>137</v>
      </c>
      <c r="F17" s="31" t="s">
        <v>98</v>
      </c>
    </row>
    <row r="18" spans="2:6" ht="13.5" hidden="1" thickBot="1">
      <c r="B18" s="32" t="s">
        <v>78</v>
      </c>
      <c r="C18" s="30" t="s">
        <v>160</v>
      </c>
      <c r="D18" s="42" t="s">
        <v>102</v>
      </c>
      <c r="E18" s="28" t="s">
        <v>137</v>
      </c>
      <c r="F18" s="28" t="s">
        <v>99</v>
      </c>
    </row>
    <row r="19" spans="2:6" ht="13.5" thickBot="1">
      <c r="B19" s="32" t="s">
        <v>80</v>
      </c>
      <c r="C19" s="30" t="s">
        <v>180</v>
      </c>
      <c r="D19" s="42" t="s">
        <v>102</v>
      </c>
      <c r="E19" s="28" t="s">
        <v>137</v>
      </c>
      <c r="F19" s="28" t="s">
        <v>98</v>
      </c>
    </row>
    <row r="20" spans="2:6" ht="13.5" thickBot="1">
      <c r="B20" s="32" t="s">
        <v>79</v>
      </c>
      <c r="C20" s="30" t="s">
        <v>181</v>
      </c>
      <c r="D20" s="42" t="s">
        <v>102</v>
      </c>
      <c r="E20" s="28" t="s">
        <v>137</v>
      </c>
      <c r="F20" s="28" t="s">
        <v>98</v>
      </c>
    </row>
    <row r="21" spans="2:6" ht="13.5" thickBot="1">
      <c r="B21" s="32" t="s">
        <v>261</v>
      </c>
      <c r="C21" s="30" t="s">
        <v>262</v>
      </c>
      <c r="D21" s="42" t="s">
        <v>102</v>
      </c>
      <c r="E21" s="29" t="s">
        <v>137</v>
      </c>
      <c r="F21" s="28" t="s">
        <v>98</v>
      </c>
    </row>
    <row r="22" spans="2:6" ht="15" thickBot="1">
      <c r="B22" s="145" t="s">
        <v>114</v>
      </c>
      <c r="C22" s="30" t="s">
        <v>164</v>
      </c>
      <c r="D22" s="159" t="s">
        <v>116</v>
      </c>
      <c r="E22" s="31" t="s">
        <v>138</v>
      </c>
      <c r="F22" s="160" t="s">
        <v>98</v>
      </c>
    </row>
    <row r="23" spans="2:6" ht="15" thickBot="1">
      <c r="B23" s="144" t="s">
        <v>115</v>
      </c>
      <c r="C23" s="30" t="s">
        <v>165</v>
      </c>
      <c r="D23" s="147" t="s">
        <v>116</v>
      </c>
      <c r="E23" s="28" t="s">
        <v>138</v>
      </c>
      <c r="F23" s="158" t="s">
        <v>98</v>
      </c>
    </row>
    <row r="24" spans="2:6" ht="15" thickBot="1">
      <c r="B24" s="144" t="s">
        <v>117</v>
      </c>
      <c r="C24" s="30" t="s">
        <v>166</v>
      </c>
      <c r="D24" s="147" t="s">
        <v>116</v>
      </c>
      <c r="E24" s="28" t="s">
        <v>87</v>
      </c>
      <c r="F24" s="158" t="s">
        <v>98</v>
      </c>
    </row>
    <row r="25" spans="2:6" ht="15" thickBot="1">
      <c r="B25" s="146" t="s">
        <v>162</v>
      </c>
      <c r="C25" s="142" t="s">
        <v>167</v>
      </c>
      <c r="D25" s="227" t="s">
        <v>116</v>
      </c>
      <c r="E25" s="29" t="s">
        <v>216</v>
      </c>
      <c r="F25" s="161" t="s">
        <v>98</v>
      </c>
    </row>
    <row r="26" spans="2:6" ht="15" hidden="1" thickBot="1">
      <c r="B26" s="146" t="s">
        <v>163</v>
      </c>
      <c r="C26" s="23" t="s">
        <v>168</v>
      </c>
      <c r="D26" s="147" t="s">
        <v>116</v>
      </c>
      <c r="E26" s="29" t="s">
        <v>216</v>
      </c>
      <c r="F26" s="161" t="s">
        <v>99</v>
      </c>
    </row>
    <row r="27" spans="2:6" ht="15" thickBot="1">
      <c r="B27" s="144" t="s">
        <v>76</v>
      </c>
      <c r="C27" s="30" t="s">
        <v>169</v>
      </c>
      <c r="D27" s="43" t="s">
        <v>103</v>
      </c>
      <c r="E27" s="28" t="s">
        <v>139</v>
      </c>
      <c r="F27" s="28" t="s">
        <v>98</v>
      </c>
    </row>
    <row r="28" spans="2:6" ht="15" hidden="1" thickBot="1">
      <c r="B28" s="144" t="s">
        <v>91</v>
      </c>
      <c r="C28" s="30" t="s">
        <v>170</v>
      </c>
      <c r="D28" s="43" t="s">
        <v>103</v>
      </c>
      <c r="E28" s="28" t="s">
        <v>139</v>
      </c>
      <c r="F28" s="28" t="s">
        <v>99</v>
      </c>
    </row>
    <row r="29" spans="2:6" ht="15" thickBot="1">
      <c r="B29" s="144" t="s">
        <v>85</v>
      </c>
      <c r="C29" s="30" t="s">
        <v>171</v>
      </c>
      <c r="D29" s="43" t="s">
        <v>103</v>
      </c>
      <c r="E29" s="28" t="s">
        <v>87</v>
      </c>
      <c r="F29" s="28" t="s">
        <v>98</v>
      </c>
    </row>
    <row r="30" spans="2:6" ht="15" thickBot="1">
      <c r="B30" s="144" t="s">
        <v>92</v>
      </c>
      <c r="C30" s="30" t="s">
        <v>252</v>
      </c>
      <c r="D30" s="43" t="s">
        <v>103</v>
      </c>
      <c r="E30" s="28" t="s">
        <v>139</v>
      </c>
      <c r="F30" s="28" t="s">
        <v>98</v>
      </c>
    </row>
    <row r="31" spans="2:6" ht="15" thickBot="1">
      <c r="B31" s="146" t="s">
        <v>143</v>
      </c>
      <c r="C31" s="141" t="s">
        <v>161</v>
      </c>
      <c r="D31" s="44" t="s">
        <v>103</v>
      </c>
      <c r="E31" s="29" t="s">
        <v>139</v>
      </c>
      <c r="F31" s="29" t="s">
        <v>98</v>
      </c>
    </row>
    <row r="32" spans="2:6" ht="15" thickBot="1">
      <c r="B32" s="144" t="s">
        <v>175</v>
      </c>
      <c r="C32" s="23" t="s">
        <v>289</v>
      </c>
      <c r="D32" s="140" t="s">
        <v>174</v>
      </c>
      <c r="E32" s="28" t="s">
        <v>174</v>
      </c>
      <c r="F32" s="28" t="s">
        <v>98</v>
      </c>
    </row>
    <row r="33" spans="2:6" ht="15" thickBot="1">
      <c r="B33" s="144" t="s">
        <v>176</v>
      </c>
      <c r="C33" s="30" t="s">
        <v>178</v>
      </c>
      <c r="D33" s="140" t="s">
        <v>174</v>
      </c>
      <c r="E33" s="28" t="s">
        <v>174</v>
      </c>
      <c r="F33" s="28" t="s">
        <v>98</v>
      </c>
    </row>
    <row r="34" spans="2:6" ht="15" thickBot="1">
      <c r="B34" s="146" t="s">
        <v>177</v>
      </c>
      <c r="C34" s="142" t="s">
        <v>179</v>
      </c>
      <c r="D34" s="143" t="s">
        <v>174</v>
      </c>
      <c r="E34" s="29" t="s">
        <v>174</v>
      </c>
      <c r="F34" s="29" t="s">
        <v>98</v>
      </c>
    </row>
  </sheetData>
  <mergeCells count="3">
    <mergeCell ref="B10:F10"/>
    <mergeCell ref="H12:K12"/>
    <mergeCell ref="B2:E2"/>
  </mergeCells>
  <phoneticPr fontId="22" type="noConversion"/>
  <conditionalFormatting sqref="F5:F8 F13:F34">
    <cfRule type="cellIs" dxfId="77" priority="4" operator="equal">
      <formula>"?"</formula>
    </cfRule>
    <cfRule type="cellIs" dxfId="76" priority="5" operator="equal">
      <formula>"Y"</formula>
    </cfRule>
    <cfRule type="cellIs" dxfId="75" priority="6" operator="equal">
      <formula>"N"</formula>
    </cfRule>
  </conditionalFormatting>
  <hyperlinks>
    <hyperlink ref="B13" location="'ENV1'!A1" display="ENV1" xr:uid="{00000000-0004-0000-0000-000000000000}"/>
    <hyperlink ref="B15" location="'ENV3'!A1" display="ENV3" xr:uid="{00000000-0004-0000-0000-000001000000}"/>
    <hyperlink ref="B17" location="'ECO1'!A1" display="ECO1" xr:uid="{00000000-0004-0000-0000-000002000000}"/>
    <hyperlink ref="B18" location="'ECO2'!A1" display="ECO2" xr:uid="{00000000-0004-0000-0000-000003000000}"/>
    <hyperlink ref="B19" location="'ECO3'!A1" display="ECO3" xr:uid="{00000000-0004-0000-0000-000004000000}"/>
    <hyperlink ref="B23" location="SOCI2!A1" display="SOCI2" xr:uid="{00000000-0004-0000-0000-000006000000}"/>
    <hyperlink ref="B22" location="SOCI1!A1" display="SOCI1" xr:uid="{00000000-0004-0000-0000-000007000000}"/>
    <hyperlink ref="B26" location="SOCI5!A1" display="SOCI5" xr:uid="{00000000-0004-0000-0000-000008000000}"/>
    <hyperlink ref="B27" location="TECH1!A1" display="TECH1" xr:uid="{00000000-0004-0000-0000-000009000000}"/>
    <hyperlink ref="B29" location="TECH3!A1" display="TECH3" xr:uid="{00000000-0004-0000-0000-00000A000000}"/>
    <hyperlink ref="B14" location="'ENV2'!A1" display="ENV2" xr:uid="{00000000-0004-0000-0000-00000B000000}"/>
    <hyperlink ref="B28" location="TECH2!A1" display="TECH2" xr:uid="{00000000-0004-0000-0000-00000C000000}"/>
    <hyperlink ref="B30:B31" location="TECH6!A1" display="TECH6" xr:uid="{00000000-0004-0000-0000-00000D000000}"/>
    <hyperlink ref="B16" location="'ENV4'!A1" display="ENV4" xr:uid="{00000000-0004-0000-0000-00000E000000}"/>
    <hyperlink ref="B30" location="TECH4!A1" display="TECH4" xr:uid="{00000000-0004-0000-0000-000010000000}"/>
    <hyperlink ref="B31" location="TECH5!A1" display="TECH5" xr:uid="{00000000-0004-0000-0000-000011000000}"/>
    <hyperlink ref="B24" location="SOCI3!A1" display="SOCI3" xr:uid="{00000000-0004-0000-0000-000012000000}"/>
    <hyperlink ref="B25" location="SOCI4!A1" display="SOCI4" xr:uid="{00000000-0004-0000-0000-000013000000}"/>
    <hyperlink ref="B32" location="RISK1!A1" display="RISK1" xr:uid="{00000000-0004-0000-0000-000014000000}"/>
    <hyperlink ref="B33" location="RISK2!A1" display="RISK2" xr:uid="{00000000-0004-0000-0000-000015000000}"/>
    <hyperlink ref="B34" location="RISK3!A1" display="RISK3" xr:uid="{00000000-0004-0000-0000-000016000000}"/>
    <hyperlink ref="B21" location="'ECO5'!A1" display="ECO5" xr:uid="{3291437B-73CC-412B-ABDF-B5B1FCD2CF31}"/>
    <hyperlink ref="B20" location="'ECO4'!A1" display="ECO4" xr:uid="{00000000-0004-0000-0000-000005000000}"/>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5">
    <tabColor rgb="FFFF0000"/>
  </sheetPr>
  <dimension ref="B1:AX48"/>
  <sheetViews>
    <sheetView showGridLines="0" zoomScale="85" zoomScaleNormal="85" workbookViewId="0">
      <selection activeCell="E58" sqref="E58"/>
    </sheetView>
  </sheetViews>
  <sheetFormatPr baseColWidth="10" defaultColWidth="11.54296875" defaultRowHeight="14"/>
  <cols>
    <col min="1" max="1" width="3.26953125" style="50" customWidth="1"/>
    <col min="2" max="2" width="5.54296875" style="50" customWidth="1"/>
    <col min="3" max="3" width="40.81640625" style="50" customWidth="1"/>
    <col min="4" max="4" width="34.7265625" style="50" customWidth="1"/>
    <col min="5" max="7" width="11.1796875" style="50" customWidth="1"/>
    <col min="8" max="8" width="11.1796875" style="50" hidden="1" customWidth="1"/>
    <col min="9" max="9" width="11.1796875" style="50" customWidth="1"/>
    <col min="10" max="10" width="11.1796875" style="50" hidden="1" customWidth="1"/>
    <col min="11" max="13" width="11.1796875" style="50" customWidth="1"/>
    <col min="14" max="14" width="12.1796875" style="50" customWidth="1"/>
    <col min="15" max="17" width="11.1796875" style="50" customWidth="1"/>
    <col min="18" max="18" width="11.1796875" style="50" hidden="1" customWidth="1"/>
    <col min="19" max="19" width="11.1796875" style="50" customWidth="1"/>
    <col min="20" max="20" width="11.1796875" style="50" hidden="1" customWidth="1"/>
    <col min="21" max="26" width="11.1796875" style="50" customWidth="1"/>
    <col min="27" max="27" width="3.7265625" style="50" customWidth="1"/>
    <col min="28" max="33" width="11.54296875" style="50"/>
    <col min="34" max="50" width="11.54296875" style="50" customWidth="1"/>
    <col min="51" max="16384" width="11.54296875" style="50"/>
  </cols>
  <sheetData>
    <row r="1" spans="3:26" ht="14.5" thickBot="1"/>
    <row r="2" spans="3:26" ht="18.649999999999999" customHeight="1" thickBot="1">
      <c r="C2" s="66" t="s">
        <v>129</v>
      </c>
      <c r="E2" s="267" t="s">
        <v>140</v>
      </c>
      <c r="F2" s="268"/>
      <c r="G2" s="268"/>
      <c r="H2" s="268"/>
      <c r="I2" s="268"/>
      <c r="J2" s="268"/>
      <c r="K2" s="268"/>
      <c r="L2" s="268"/>
      <c r="M2" s="268"/>
      <c r="N2" s="268"/>
      <c r="O2" s="268"/>
      <c r="P2" s="268"/>
      <c r="Q2" s="268"/>
      <c r="R2" s="268"/>
      <c r="S2" s="268"/>
      <c r="T2" s="268"/>
      <c r="U2" s="268"/>
      <c r="V2" s="268"/>
      <c r="W2" s="268"/>
      <c r="X2" s="268"/>
      <c r="Y2" s="268"/>
      <c r="Z2" s="268"/>
    </row>
    <row r="3" spans="3:26" ht="18.649999999999999" customHeight="1" thickBot="1">
      <c r="C3" s="83" t="s">
        <v>118</v>
      </c>
      <c r="E3" s="267"/>
      <c r="F3" s="268"/>
      <c r="G3" s="268"/>
      <c r="H3" s="268"/>
      <c r="I3" s="268"/>
      <c r="J3" s="268"/>
      <c r="K3" s="268"/>
      <c r="L3" s="268"/>
      <c r="M3" s="268"/>
      <c r="N3" s="268"/>
      <c r="O3" s="268"/>
      <c r="P3" s="268"/>
      <c r="Q3" s="268"/>
      <c r="R3" s="268"/>
      <c r="S3" s="268"/>
      <c r="T3" s="268"/>
      <c r="U3" s="268"/>
      <c r="V3" s="268"/>
      <c r="W3" s="268"/>
      <c r="X3" s="268"/>
      <c r="Y3" s="268"/>
      <c r="Z3" s="268"/>
    </row>
    <row r="4" spans="3:26" ht="42.5" thickBot="1">
      <c r="C4" s="262" t="s">
        <v>320</v>
      </c>
      <c r="E4" s="228" t="str">
        <f>'1. Criteria'!C13</f>
        <v>Land use</v>
      </c>
      <c r="F4" s="228" t="str">
        <f>'1. Criteria'!C14</f>
        <v>Noise and visual pollution</v>
      </c>
      <c r="G4" s="228" t="str">
        <f>'1. Criteria'!C15</f>
        <v>GHG emissions and GWP</v>
      </c>
      <c r="H4" s="228" t="s">
        <v>152</v>
      </c>
      <c r="I4" s="228" t="str">
        <f>'1. Criteria'!C17</f>
        <v>Capital costs</v>
      </c>
      <c r="J4" s="228" t="s">
        <v>153</v>
      </c>
      <c r="K4" s="228" t="str">
        <f>'1. Criteria'!C19</f>
        <v>Payback period</v>
      </c>
      <c r="L4" s="228" t="str">
        <f>'1. Criteria'!C20</f>
        <v>LCOE</v>
      </c>
      <c r="M4" s="228" t="str">
        <f>'1. Criteria'!C21</f>
        <v>Utilization costs</v>
      </c>
      <c r="N4" s="228" t="str">
        <f>'1. Criteria'!C22</f>
        <v>Acceptability</v>
      </c>
      <c r="O4" s="228" t="str">
        <f>'1. Criteria'!C23</f>
        <v>Awareness</v>
      </c>
      <c r="P4" s="228" t="str">
        <f>'1. Criteria'!C24</f>
        <v>Health damage</v>
      </c>
      <c r="Q4" s="228" t="str">
        <f>'1. Criteria'!C25</f>
        <v>Social benefits</v>
      </c>
      <c r="R4" s="228" t="s">
        <v>154</v>
      </c>
      <c r="S4" s="228" t="str">
        <f>'1. Criteria'!C27</f>
        <v>Plant efficiency</v>
      </c>
      <c r="T4" s="228" t="s">
        <v>155</v>
      </c>
      <c r="U4" s="228" t="str">
        <f>'1. Criteria'!C29</f>
        <v>Safety</v>
      </c>
      <c r="V4" s="228" t="str">
        <f>'1. Criteria'!C30</f>
        <v>Capacity Factor</v>
      </c>
      <c r="W4" s="228" t="str">
        <f>'1. Criteria'!C31</f>
        <v>Flexibility</v>
      </c>
      <c r="X4" s="228" t="str">
        <f>'1. Criteria'!C32</f>
        <v>Political support</v>
      </c>
      <c r="Y4" s="228" t="str">
        <f>'1. Criteria'!C33</f>
        <v>External supply risks</v>
      </c>
      <c r="Z4" s="229" t="str">
        <f>'1. Criteria'!C34</f>
        <v>Resource supply risks</v>
      </c>
    </row>
    <row r="5" spans="3:26" ht="30.65" customHeight="1" thickBot="1">
      <c r="C5" s="263"/>
      <c r="D5" s="50" t="s">
        <v>73</v>
      </c>
      <c r="E5" s="52" t="s">
        <v>0</v>
      </c>
      <c r="F5" s="53" t="s">
        <v>89</v>
      </c>
      <c r="G5" s="53" t="s">
        <v>90</v>
      </c>
      <c r="H5" s="53" t="s">
        <v>81</v>
      </c>
      <c r="I5" s="54" t="s">
        <v>77</v>
      </c>
      <c r="J5" s="55" t="s">
        <v>78</v>
      </c>
      <c r="K5" s="55" t="s">
        <v>80</v>
      </c>
      <c r="L5" s="55" t="s">
        <v>79</v>
      </c>
      <c r="M5" s="56" t="s">
        <v>261</v>
      </c>
      <c r="N5" s="57" t="s">
        <v>114</v>
      </c>
      <c r="O5" s="57" t="s">
        <v>115</v>
      </c>
      <c r="P5" s="57" t="s">
        <v>117</v>
      </c>
      <c r="Q5" s="57" t="s">
        <v>162</v>
      </c>
      <c r="R5" s="57" t="s">
        <v>163</v>
      </c>
      <c r="S5" s="58" t="s">
        <v>76</v>
      </c>
      <c r="T5" s="59" t="s">
        <v>91</v>
      </c>
      <c r="U5" s="59" t="s">
        <v>85</v>
      </c>
      <c r="V5" s="59" t="s">
        <v>92</v>
      </c>
      <c r="W5" s="149" t="s">
        <v>143</v>
      </c>
      <c r="X5" s="155" t="s">
        <v>175</v>
      </c>
      <c r="Y5" s="154" t="s">
        <v>176</v>
      </c>
      <c r="Z5" s="156" t="s">
        <v>177</v>
      </c>
    </row>
    <row r="6" spans="3:26" ht="13.9" hidden="1" customHeight="1">
      <c r="C6" s="263"/>
      <c r="D6" s="50" t="s">
        <v>118</v>
      </c>
      <c r="E6" s="51">
        <v>1</v>
      </c>
      <c r="F6" s="105">
        <v>1</v>
      </c>
      <c r="G6" s="105">
        <v>1</v>
      </c>
      <c r="H6" s="105">
        <v>0</v>
      </c>
      <c r="I6" s="51">
        <v>1</v>
      </c>
      <c r="J6" s="105">
        <v>0</v>
      </c>
      <c r="K6" s="105">
        <v>1</v>
      </c>
      <c r="L6" s="105">
        <v>1</v>
      </c>
      <c r="M6" s="116">
        <v>1</v>
      </c>
      <c r="N6" s="105">
        <v>1</v>
      </c>
      <c r="O6" s="105">
        <v>1</v>
      </c>
      <c r="P6" s="105">
        <v>1</v>
      </c>
      <c r="Q6" s="105">
        <v>1</v>
      </c>
      <c r="R6" s="105">
        <v>0</v>
      </c>
      <c r="S6" s="51">
        <v>1</v>
      </c>
      <c r="T6" s="105">
        <v>0</v>
      </c>
      <c r="U6" s="105">
        <v>1</v>
      </c>
      <c r="V6" s="105">
        <v>1</v>
      </c>
      <c r="W6" s="116">
        <v>1</v>
      </c>
      <c r="X6" s="51">
        <v>1</v>
      </c>
      <c r="Y6" s="105">
        <v>1</v>
      </c>
      <c r="Z6" s="116">
        <v>1</v>
      </c>
    </row>
    <row r="7" spans="3:26" ht="13.9" hidden="1" customHeight="1">
      <c r="C7" s="263"/>
      <c r="D7" s="50" t="s">
        <v>111</v>
      </c>
      <c r="E7" s="51">
        <v>1</v>
      </c>
      <c r="F7" s="105">
        <v>1</v>
      </c>
      <c r="G7" s="105">
        <v>1</v>
      </c>
      <c r="H7" s="105">
        <v>0</v>
      </c>
      <c r="I7" s="51">
        <v>0</v>
      </c>
      <c r="J7" s="105">
        <v>0</v>
      </c>
      <c r="K7" s="105">
        <v>0</v>
      </c>
      <c r="L7" s="105">
        <v>0</v>
      </c>
      <c r="M7" s="116">
        <v>0</v>
      </c>
      <c r="N7" s="105">
        <v>0</v>
      </c>
      <c r="O7" s="105">
        <v>0</v>
      </c>
      <c r="P7" s="105">
        <v>0</v>
      </c>
      <c r="Q7" s="105">
        <v>0</v>
      </c>
      <c r="R7" s="105">
        <v>0</v>
      </c>
      <c r="S7" s="51">
        <v>0</v>
      </c>
      <c r="T7" s="105">
        <v>0</v>
      </c>
      <c r="U7" s="105">
        <v>0</v>
      </c>
      <c r="V7" s="105">
        <v>0</v>
      </c>
      <c r="W7" s="116">
        <v>0</v>
      </c>
      <c r="X7" s="51">
        <v>0</v>
      </c>
      <c r="Y7" s="105">
        <v>0</v>
      </c>
      <c r="Z7" s="116">
        <v>0</v>
      </c>
    </row>
    <row r="8" spans="3:26" ht="13.9" hidden="1" customHeight="1">
      <c r="C8" s="263"/>
      <c r="D8" s="50" t="s">
        <v>234</v>
      </c>
      <c r="E8" s="51">
        <v>0</v>
      </c>
      <c r="F8" s="105">
        <v>0</v>
      </c>
      <c r="G8" s="105">
        <v>0</v>
      </c>
      <c r="H8" s="105">
        <v>0</v>
      </c>
      <c r="I8" s="51">
        <v>1</v>
      </c>
      <c r="J8" s="105">
        <v>0</v>
      </c>
      <c r="K8" s="105">
        <v>1</v>
      </c>
      <c r="L8" s="105">
        <v>1</v>
      </c>
      <c r="M8" s="116">
        <v>1</v>
      </c>
      <c r="N8" s="105">
        <v>0</v>
      </c>
      <c r="O8" s="105">
        <v>0</v>
      </c>
      <c r="P8" s="105">
        <v>0</v>
      </c>
      <c r="Q8" s="105">
        <v>0</v>
      </c>
      <c r="R8" s="105">
        <v>0</v>
      </c>
      <c r="S8" s="51">
        <v>0</v>
      </c>
      <c r="T8" s="105">
        <v>0</v>
      </c>
      <c r="U8" s="105">
        <v>0</v>
      </c>
      <c r="V8" s="105">
        <v>0</v>
      </c>
      <c r="W8" s="116">
        <v>0</v>
      </c>
      <c r="X8" s="51">
        <v>0</v>
      </c>
      <c r="Y8" s="105">
        <v>0</v>
      </c>
      <c r="Z8" s="116">
        <v>0</v>
      </c>
    </row>
    <row r="9" spans="3:26" ht="13.9" hidden="1" customHeight="1">
      <c r="C9" s="263"/>
      <c r="D9" s="50" t="s">
        <v>235</v>
      </c>
      <c r="E9" s="51">
        <v>0</v>
      </c>
      <c r="F9" s="105">
        <v>0</v>
      </c>
      <c r="G9" s="105">
        <v>0</v>
      </c>
      <c r="H9" s="105">
        <v>0</v>
      </c>
      <c r="I9" s="51">
        <v>0</v>
      </c>
      <c r="J9" s="105">
        <v>0</v>
      </c>
      <c r="K9" s="105">
        <v>0</v>
      </c>
      <c r="L9" s="105">
        <v>0</v>
      </c>
      <c r="M9" s="116">
        <v>0</v>
      </c>
      <c r="N9" s="105">
        <v>0</v>
      </c>
      <c r="O9" s="105">
        <v>0</v>
      </c>
      <c r="P9" s="105">
        <v>0</v>
      </c>
      <c r="Q9" s="105">
        <v>0</v>
      </c>
      <c r="R9" s="105">
        <v>0</v>
      </c>
      <c r="S9" s="51">
        <v>0</v>
      </c>
      <c r="T9" s="105">
        <v>0</v>
      </c>
      <c r="U9" s="105">
        <v>0</v>
      </c>
      <c r="V9" s="105">
        <v>0</v>
      </c>
      <c r="W9" s="116">
        <v>0</v>
      </c>
      <c r="X9" s="51">
        <v>1</v>
      </c>
      <c r="Y9" s="105">
        <v>1</v>
      </c>
      <c r="Z9" s="116">
        <v>1</v>
      </c>
    </row>
    <row r="10" spans="3:26" ht="13.9" hidden="1" customHeight="1">
      <c r="C10" s="263"/>
      <c r="D10" s="50" t="s">
        <v>125</v>
      </c>
      <c r="E10" s="51">
        <v>0</v>
      </c>
      <c r="F10" s="105">
        <v>0</v>
      </c>
      <c r="G10" s="105">
        <v>0</v>
      </c>
      <c r="H10" s="105">
        <v>0</v>
      </c>
      <c r="I10" s="51">
        <v>0</v>
      </c>
      <c r="J10" s="105">
        <v>0</v>
      </c>
      <c r="K10" s="105">
        <v>0</v>
      </c>
      <c r="L10" s="105">
        <v>0</v>
      </c>
      <c r="M10" s="116">
        <v>0</v>
      </c>
      <c r="N10" s="105">
        <v>1</v>
      </c>
      <c r="O10" s="105">
        <v>1</v>
      </c>
      <c r="P10" s="105">
        <v>1</v>
      </c>
      <c r="Q10" s="105">
        <v>0</v>
      </c>
      <c r="R10" s="105">
        <v>0</v>
      </c>
      <c r="S10" s="51">
        <v>0</v>
      </c>
      <c r="T10" s="105">
        <v>0</v>
      </c>
      <c r="U10" s="105">
        <v>0</v>
      </c>
      <c r="V10" s="105">
        <v>0</v>
      </c>
      <c r="W10" s="116">
        <v>0</v>
      </c>
      <c r="X10" s="51">
        <v>0</v>
      </c>
      <c r="Y10" s="105">
        <v>0</v>
      </c>
      <c r="Z10" s="116">
        <v>0</v>
      </c>
    </row>
    <row r="11" spans="3:26" ht="13.9" hidden="1" customHeight="1">
      <c r="C11" s="263"/>
      <c r="D11" s="50" t="s">
        <v>112</v>
      </c>
      <c r="E11" s="51">
        <v>0</v>
      </c>
      <c r="F11" s="105">
        <v>0</v>
      </c>
      <c r="G11" s="105">
        <v>0</v>
      </c>
      <c r="H11" s="105">
        <v>0</v>
      </c>
      <c r="I11" s="51">
        <v>0</v>
      </c>
      <c r="J11" s="105">
        <v>0</v>
      </c>
      <c r="K11" s="105">
        <v>0</v>
      </c>
      <c r="L11" s="105">
        <v>0</v>
      </c>
      <c r="M11" s="116">
        <v>0</v>
      </c>
      <c r="N11" s="105">
        <v>0</v>
      </c>
      <c r="O11" s="105">
        <v>0</v>
      </c>
      <c r="P11" s="105">
        <v>0</v>
      </c>
      <c r="Q11" s="105">
        <v>0</v>
      </c>
      <c r="R11" s="105">
        <v>0</v>
      </c>
      <c r="S11" s="51">
        <v>1</v>
      </c>
      <c r="T11" s="105">
        <v>0</v>
      </c>
      <c r="U11" s="105">
        <v>1</v>
      </c>
      <c r="V11" s="105">
        <v>1</v>
      </c>
      <c r="W11" s="116">
        <v>1</v>
      </c>
      <c r="X11" s="51">
        <v>0</v>
      </c>
      <c r="Y11" s="105">
        <v>0</v>
      </c>
      <c r="Z11" s="116">
        <v>0</v>
      </c>
    </row>
    <row r="12" spans="3:26" ht="13.9" hidden="1" customHeight="1">
      <c r="C12" s="263"/>
      <c r="D12" s="50" t="s">
        <v>367</v>
      </c>
      <c r="E12" s="51">
        <v>3</v>
      </c>
      <c r="F12" s="105">
        <v>0</v>
      </c>
      <c r="G12" s="105">
        <v>2</v>
      </c>
      <c r="H12" s="105">
        <v>0</v>
      </c>
      <c r="I12" s="51">
        <v>3</v>
      </c>
      <c r="J12" s="105">
        <v>0</v>
      </c>
      <c r="K12" s="105">
        <v>0</v>
      </c>
      <c r="L12" s="105">
        <v>0</v>
      </c>
      <c r="M12" s="116">
        <v>2</v>
      </c>
      <c r="N12" s="105">
        <v>3</v>
      </c>
      <c r="O12" s="105">
        <v>2</v>
      </c>
      <c r="P12" s="105">
        <v>2</v>
      </c>
      <c r="Q12" s="105">
        <v>2</v>
      </c>
      <c r="R12" s="105">
        <v>2</v>
      </c>
      <c r="S12" s="51">
        <v>3</v>
      </c>
      <c r="T12" s="105">
        <v>0</v>
      </c>
      <c r="U12" s="105">
        <v>3</v>
      </c>
      <c r="V12" s="105">
        <v>1</v>
      </c>
      <c r="W12" s="116">
        <v>2</v>
      </c>
      <c r="X12" s="51">
        <v>3</v>
      </c>
      <c r="Y12" s="105">
        <v>3</v>
      </c>
      <c r="Z12" s="116">
        <v>2</v>
      </c>
    </row>
    <row r="13" spans="3:26" ht="13.9" hidden="1" customHeight="1">
      <c r="C13" s="263"/>
      <c r="D13" s="50" t="s">
        <v>368</v>
      </c>
      <c r="E13" s="51">
        <v>1</v>
      </c>
      <c r="F13" s="105">
        <v>1</v>
      </c>
      <c r="G13" s="105">
        <v>3</v>
      </c>
      <c r="H13" s="105">
        <v>0</v>
      </c>
      <c r="I13" s="51">
        <v>3</v>
      </c>
      <c r="J13" s="105">
        <v>0</v>
      </c>
      <c r="K13" s="105">
        <v>3</v>
      </c>
      <c r="L13" s="105">
        <v>3</v>
      </c>
      <c r="M13" s="116">
        <v>3</v>
      </c>
      <c r="N13" s="105">
        <v>1</v>
      </c>
      <c r="O13" s="105">
        <v>1</v>
      </c>
      <c r="P13" s="105">
        <v>1</v>
      </c>
      <c r="Q13" s="105">
        <v>1</v>
      </c>
      <c r="R13" s="105">
        <v>1</v>
      </c>
      <c r="S13" s="51">
        <v>3</v>
      </c>
      <c r="T13" s="105">
        <v>0</v>
      </c>
      <c r="U13" s="105">
        <v>1</v>
      </c>
      <c r="V13" s="105">
        <v>1</v>
      </c>
      <c r="W13" s="116">
        <v>1</v>
      </c>
      <c r="X13" s="51">
        <v>1</v>
      </c>
      <c r="Y13" s="105">
        <v>1</v>
      </c>
      <c r="Z13" s="116">
        <v>1</v>
      </c>
    </row>
    <row r="14" spans="3:26" ht="22.9" customHeight="1" thickBot="1">
      <c r="C14" s="263"/>
      <c r="D14" s="50" t="s">
        <v>124</v>
      </c>
      <c r="E14" s="80">
        <v>2</v>
      </c>
      <c r="F14" s="81">
        <v>0</v>
      </c>
      <c r="G14" s="81">
        <v>0</v>
      </c>
      <c r="H14" s="81">
        <v>0</v>
      </c>
      <c r="I14" s="191">
        <v>3</v>
      </c>
      <c r="J14" s="189">
        <v>0</v>
      </c>
      <c r="K14" s="189">
        <v>0</v>
      </c>
      <c r="L14" s="189">
        <v>0</v>
      </c>
      <c r="M14" s="150">
        <v>2</v>
      </c>
      <c r="N14" s="189">
        <v>0</v>
      </c>
      <c r="O14" s="189">
        <v>0</v>
      </c>
      <c r="P14" s="189">
        <v>0</v>
      </c>
      <c r="Q14" s="189">
        <v>0</v>
      </c>
      <c r="R14" s="189">
        <v>0</v>
      </c>
      <c r="S14" s="80">
        <v>0</v>
      </c>
      <c r="T14" s="81">
        <v>0</v>
      </c>
      <c r="U14" s="81">
        <v>0</v>
      </c>
      <c r="V14" s="81">
        <v>0</v>
      </c>
      <c r="W14" s="82">
        <v>0</v>
      </c>
      <c r="X14" s="191">
        <v>0</v>
      </c>
      <c r="Y14" s="189">
        <v>1</v>
      </c>
      <c r="Z14" s="150">
        <v>1</v>
      </c>
    </row>
    <row r="15" spans="3:26" ht="22.9" customHeight="1" thickBot="1">
      <c r="C15" s="84" t="s">
        <v>130</v>
      </c>
      <c r="D15" s="50" t="str">
        <f>C3</f>
        <v>Equal weights</v>
      </c>
      <c r="E15" s="72">
        <f>VLOOKUP($D$15,$D$6:$Z$14,2,FALSE)</f>
        <v>1</v>
      </c>
      <c r="F15" s="71">
        <f>VLOOKUP($D$15,$D$6:$Z$14,3,FALSE)</f>
        <v>1</v>
      </c>
      <c r="G15" s="71">
        <f>VLOOKUP($D$15,$D$6:$Z$14,4,FALSE)</f>
        <v>1</v>
      </c>
      <c r="H15" s="71">
        <f>VLOOKUP($D$15,$D$6:$Z$14,5,FALSE)</f>
        <v>0</v>
      </c>
      <c r="I15" s="72">
        <f>VLOOKUP($D$15,$D$6:$Z$14,6,FALSE)</f>
        <v>1</v>
      </c>
      <c r="J15" s="71">
        <f>VLOOKUP($D$15,$D$6:$Z$14,7,FALSE)</f>
        <v>0</v>
      </c>
      <c r="K15" s="71">
        <f>VLOOKUP($D$15,$D$6:$Z$14,8,FALSE)</f>
        <v>1</v>
      </c>
      <c r="L15" s="71">
        <f>VLOOKUP($D$15,$D$6:$Z$14,9,FALSE)</f>
        <v>1</v>
      </c>
      <c r="M15" s="73">
        <f>VLOOKUP($D$15,$D$6:$Z$14,10,FALSE)</f>
        <v>1</v>
      </c>
      <c r="N15" s="72">
        <f>VLOOKUP($D$15,$D$6:$Z$14,11,FALSE)</f>
        <v>1</v>
      </c>
      <c r="O15" s="71">
        <f>VLOOKUP($D$15,$D$6:$Z$14,12,FALSE)</f>
        <v>1</v>
      </c>
      <c r="P15" s="71">
        <f>VLOOKUP($D$15,$D$6:$Z$14,13,FALSE)</f>
        <v>1</v>
      </c>
      <c r="Q15" s="71">
        <f>VLOOKUP($D$15,$D$6:$Z$14,14,FALSE)</f>
        <v>1</v>
      </c>
      <c r="R15" s="73">
        <f>VLOOKUP($D$15,$D$6:$Z$14,15,FALSE)</f>
        <v>0</v>
      </c>
      <c r="S15" s="72">
        <f>VLOOKUP($D$15,$D$6:$Z$14,16,FALSE)</f>
        <v>1</v>
      </c>
      <c r="T15" s="71">
        <f>VLOOKUP($D$15,$D$6:$Z$14,17,FALSE)</f>
        <v>0</v>
      </c>
      <c r="U15" s="71">
        <f>VLOOKUP($D$15,$D$6:$Z$14,18,FALSE)</f>
        <v>1</v>
      </c>
      <c r="V15" s="71">
        <f>VLOOKUP($D$15,$D$6:$Z$14,19,FALSE)</f>
        <v>1</v>
      </c>
      <c r="W15" s="73">
        <f>VLOOKUP($D$15,$D$6:$Z$14,20,FALSE)</f>
        <v>1</v>
      </c>
      <c r="X15" s="72">
        <f>VLOOKUP($D$15,$D$6:$Z$14,21,FALSE)</f>
        <v>1</v>
      </c>
      <c r="Y15" s="71">
        <f>VLOOKUP($D$15,$D$6:$Z$14,22,FALSE)</f>
        <v>1</v>
      </c>
      <c r="Z15" s="73">
        <f>VLOOKUP($D$15,$D$6:$Z$14,23,FALSE)</f>
        <v>1</v>
      </c>
    </row>
    <row r="16" spans="3:26" ht="38" customHeight="1" thickBot="1">
      <c r="D16" s="266" t="s">
        <v>375</v>
      </c>
      <c r="E16" s="233" t="str">
        <f>'ENV1'!D8</f>
        <v>m2/MWh</v>
      </c>
      <c r="F16" s="230" t="s">
        <v>370</v>
      </c>
      <c r="G16" s="230" t="str">
        <f>'ENV3'!D8</f>
        <v>gCO2-eq. /kWh</v>
      </c>
      <c r="H16" s="230" t="str">
        <f>'ENV4'!D9</f>
        <v>kt (1000 tonnes)</v>
      </c>
      <c r="I16" s="234" t="s">
        <v>263</v>
      </c>
      <c r="J16" s="235" t="str">
        <f>'ECO2'!D8</f>
        <v>€</v>
      </c>
      <c r="K16" s="235" t="str">
        <f>'ECO3'!D8</f>
        <v>yr</v>
      </c>
      <c r="L16" s="235" t="str">
        <f>'ECO4'!D8</f>
        <v>€/kWh</v>
      </c>
      <c r="M16" s="236" t="str">
        <f>'ECO5'!D8</f>
        <v>€/kW/yr</v>
      </c>
      <c r="N16" s="232" t="str">
        <f>SOCI1!D8</f>
        <v>Scale 1 (low) to 5 (high)</v>
      </c>
      <c r="O16" s="232" t="s">
        <v>371</v>
      </c>
      <c r="P16" s="232" t="str">
        <f>SOCI3!D8</f>
        <v>Scale 1 to 5</v>
      </c>
      <c r="Q16" s="232" t="str">
        <f>SOCI4!D8</f>
        <v>number of jobs</v>
      </c>
      <c r="R16" s="232" t="str">
        <f>SOCI5!D8</f>
        <v># (Number of experts)</v>
      </c>
      <c r="S16" s="233" t="str">
        <f>TECH1!D8</f>
        <v>%</v>
      </c>
      <c r="T16" s="230" t="str">
        <f>TECH2!E8</f>
        <v>%</v>
      </c>
      <c r="U16" s="232" t="s">
        <v>371</v>
      </c>
      <c r="V16" s="230" t="str">
        <f>TECH4!D8</f>
        <v>%</v>
      </c>
      <c r="W16" s="237" t="s">
        <v>372</v>
      </c>
      <c r="X16" s="233" t="s">
        <v>372</v>
      </c>
      <c r="Y16" s="233" t="str">
        <f>RISK2!D8</f>
        <v>1 to 3</v>
      </c>
      <c r="Z16" s="238" t="str">
        <f>RISK3!D8</f>
        <v>Ranking 1 to 5</v>
      </c>
    </row>
    <row r="17" spans="2:50" ht="22.15" hidden="1" customHeight="1" thickBot="1">
      <c r="B17" s="264" t="s">
        <v>159</v>
      </c>
      <c r="C17" s="67" t="s">
        <v>182</v>
      </c>
      <c r="D17" s="266"/>
      <c r="E17" s="87">
        <f>'ENV1'!$D$32</f>
        <v>595.23</v>
      </c>
      <c r="F17" s="88">
        <f>'ENV2'!$D$24</f>
        <v>1</v>
      </c>
      <c r="G17" s="88">
        <f>'ENV3'!$D$30</f>
        <v>24.69</v>
      </c>
      <c r="H17" s="88">
        <f>'ENV4'!$D$30</f>
        <v>170</v>
      </c>
      <c r="I17" s="151">
        <f>'ECO1'!$D$33</f>
        <v>1000</v>
      </c>
      <c r="J17" s="95">
        <f>'ECO2'!$D$29</f>
        <v>2300</v>
      </c>
      <c r="K17" s="95">
        <f>'ECO3'!$D$31</f>
        <v>6</v>
      </c>
      <c r="L17" s="194">
        <f>'ECO4'!$D$34</f>
        <v>0.38</v>
      </c>
      <c r="M17" s="152">
        <f>'ECO5'!D32</f>
        <v>17.765999999999998</v>
      </c>
      <c r="N17" s="88">
        <f>SOCI1!$D$33</f>
        <v>2</v>
      </c>
      <c r="O17" s="90">
        <f>SOCI2!$D$29</f>
        <v>2</v>
      </c>
      <c r="P17" s="88">
        <f>SOCI3!$D$30</f>
        <v>1</v>
      </c>
      <c r="Q17" s="90">
        <f>SOCI4!$D$33</f>
        <v>200</v>
      </c>
      <c r="R17" s="88">
        <f>SOCI5!$D$33</f>
        <v>35</v>
      </c>
      <c r="S17" s="196">
        <f>TECH1!$D$31</f>
        <v>93.5</v>
      </c>
      <c r="T17" s="88">
        <f>TECH2!$E$22</f>
        <v>0</v>
      </c>
      <c r="U17" s="90">
        <f>TECH3!$D$36</f>
        <v>5</v>
      </c>
      <c r="V17" s="90">
        <f>TECH4!$D$30</f>
        <v>93.5</v>
      </c>
      <c r="W17" s="92">
        <f>TECH5!$D$25</f>
        <v>3</v>
      </c>
      <c r="X17" s="151">
        <f>RISK1!$D$28</f>
        <v>3</v>
      </c>
      <c r="Y17" s="95">
        <f>RISK2!$D$30</f>
        <v>3</v>
      </c>
      <c r="Z17" s="152">
        <f>RISK3!$D$28</f>
        <v>2</v>
      </c>
    </row>
    <row r="18" spans="2:50" ht="22.15" hidden="1" customHeight="1" thickBot="1">
      <c r="B18" s="264"/>
      <c r="C18" s="69" t="s">
        <v>259</v>
      </c>
      <c r="D18" s="266"/>
      <c r="E18" s="93">
        <f>'ENV1'!$F$32</f>
        <v>11.7</v>
      </c>
      <c r="F18" s="88">
        <f>'ENV2'!$F$24</f>
        <v>1</v>
      </c>
      <c r="G18" s="88">
        <f>'ENV3'!$F$30</f>
        <v>160</v>
      </c>
      <c r="H18" s="88">
        <f>'ENV4'!$F$30</f>
        <v>150</v>
      </c>
      <c r="I18" s="195">
        <f>'ECO1'!$F$33</f>
        <v>900</v>
      </c>
      <c r="J18" s="193">
        <f>'ECO2'!$F$29</f>
        <v>600</v>
      </c>
      <c r="K18" s="193">
        <f>'ECO3'!$F$31</f>
        <v>5</v>
      </c>
      <c r="L18" s="190">
        <f>'ECO4'!$F$34</f>
        <v>0.99</v>
      </c>
      <c r="M18" s="200">
        <f>'ECO5'!$F$32</f>
        <v>135</v>
      </c>
      <c r="N18" s="88">
        <f>SOCI1!$F$33</f>
        <v>3</v>
      </c>
      <c r="O18" s="90">
        <f>SOCI2!$F$29</f>
        <v>1</v>
      </c>
      <c r="P18" s="88">
        <f>SOCI3!$F$30</f>
        <v>1</v>
      </c>
      <c r="Q18" s="90">
        <f>SOCI4!$F$33</f>
        <v>350</v>
      </c>
      <c r="R18" s="88">
        <f>SOCI5!$F$33</f>
        <v>20</v>
      </c>
      <c r="S18" s="196">
        <f>TECH1!$F$31</f>
        <v>50</v>
      </c>
      <c r="T18" s="88">
        <f>TECH2!$G$22</f>
        <v>33</v>
      </c>
      <c r="U18" s="90">
        <f>TECH3!$F$36</f>
        <v>5</v>
      </c>
      <c r="V18" s="90">
        <f>TECH4!$F$30</f>
        <v>25</v>
      </c>
      <c r="W18" s="92">
        <f>TECH5!$F$25</f>
        <v>2</v>
      </c>
      <c r="X18" s="151">
        <f>RISK1!$F$28</f>
        <v>3</v>
      </c>
      <c r="Y18" s="95">
        <f>RISK2!$F$30</f>
        <v>2</v>
      </c>
      <c r="Z18" s="152">
        <f>RISK3!$F$28</f>
        <v>2</v>
      </c>
    </row>
    <row r="19" spans="2:50" ht="22.15" hidden="1" customHeight="1" thickBot="1">
      <c r="B19" s="264"/>
      <c r="C19" s="68" t="s">
        <v>256</v>
      </c>
      <c r="D19" s="266"/>
      <c r="E19" s="94">
        <f>'ENV1'!$H$32</f>
        <v>38.18</v>
      </c>
      <c r="F19" s="88">
        <f>'ENV2'!$H$24</f>
        <v>2</v>
      </c>
      <c r="G19" s="88">
        <f>'ENV3'!$H$30</f>
        <v>1040</v>
      </c>
      <c r="H19" s="88">
        <f>'ENV4'!$H$30</f>
        <v>1000</v>
      </c>
      <c r="I19" s="151">
        <f>'ECO1'!$H$33</f>
        <v>650</v>
      </c>
      <c r="J19" s="95">
        <f>'ECO2'!$H$29</f>
        <v>3000</v>
      </c>
      <c r="K19" s="95">
        <f>'ECO3'!$H$31</f>
        <v>3</v>
      </c>
      <c r="L19" s="194">
        <f>'ECO4'!$H$34</f>
        <v>0.22</v>
      </c>
      <c r="M19" s="152">
        <f>'ECO5'!$H$32</f>
        <v>135</v>
      </c>
      <c r="N19" s="88">
        <f>SOCI1!$H$33</f>
        <v>2</v>
      </c>
      <c r="O19" s="90">
        <f>SOCI2!$H$29</f>
        <v>2</v>
      </c>
      <c r="P19" s="88">
        <f>SOCI3!$H$30</f>
        <v>3</v>
      </c>
      <c r="Q19" s="90">
        <f>SOCI4!$H$33</f>
        <v>750</v>
      </c>
      <c r="R19" s="88">
        <f>SOCI5!$H$33</f>
        <v>5</v>
      </c>
      <c r="S19" s="196">
        <f>TECH1!$H$31</f>
        <v>59.5</v>
      </c>
      <c r="T19" s="88">
        <f>TECH2!$I$22</f>
        <v>100</v>
      </c>
      <c r="U19" s="90">
        <f>TECH3!$H$36</f>
        <v>2</v>
      </c>
      <c r="V19" s="90">
        <f>TECH4!$H$30</f>
        <v>91</v>
      </c>
      <c r="W19" s="92">
        <f>TECH5!$H$25</f>
        <v>1</v>
      </c>
      <c r="X19" s="151">
        <f>RISK1!$H$28</f>
        <v>1</v>
      </c>
      <c r="Y19" s="95">
        <f>RISK2!$H$30</f>
        <v>1</v>
      </c>
      <c r="Z19" s="152">
        <f>RISK3!$H$28</f>
        <v>5</v>
      </c>
    </row>
    <row r="20" spans="2:50" ht="22.15" hidden="1" customHeight="1" thickBot="1">
      <c r="B20" s="264"/>
      <c r="C20" s="69"/>
      <c r="D20" s="70"/>
      <c r="E20" s="93"/>
      <c r="F20" s="88"/>
      <c r="G20" s="88"/>
      <c r="H20" s="88"/>
      <c r="I20" s="192"/>
      <c r="J20" s="193"/>
      <c r="K20" s="193"/>
      <c r="L20" s="190"/>
      <c r="M20" s="200"/>
      <c r="N20" s="88"/>
      <c r="O20" s="90"/>
      <c r="P20" s="88"/>
      <c r="Q20" s="90"/>
      <c r="R20" s="88"/>
      <c r="S20" s="196"/>
      <c r="T20" s="88"/>
      <c r="U20" s="91"/>
      <c r="V20" s="90"/>
      <c r="W20" s="92"/>
      <c r="X20" s="195"/>
      <c r="Y20" s="193"/>
      <c r="Z20" s="152"/>
    </row>
    <row r="21" spans="2:50" ht="22.15" hidden="1" customHeight="1" thickBot="1">
      <c r="B21" s="264"/>
      <c r="C21" s="68" t="s">
        <v>146</v>
      </c>
      <c r="E21" s="94"/>
      <c r="F21" s="88"/>
      <c r="G21" s="88"/>
      <c r="H21" s="88"/>
      <c r="I21" s="89"/>
      <c r="J21" s="90"/>
      <c r="K21" s="90"/>
      <c r="L21" s="190"/>
      <c r="M21" s="92"/>
      <c r="N21" s="88"/>
      <c r="O21" s="90"/>
      <c r="P21" s="88"/>
      <c r="Q21" s="88"/>
      <c r="R21" s="88"/>
      <c r="S21" s="196"/>
      <c r="T21" s="88"/>
      <c r="U21" s="91"/>
      <c r="V21" s="90"/>
      <c r="W21" s="92"/>
      <c r="X21" s="196"/>
      <c r="Y21" s="193"/>
      <c r="Z21" s="92"/>
    </row>
    <row r="22" spans="2:50" ht="22.15" hidden="1" customHeight="1" thickBot="1">
      <c r="B22" s="264"/>
      <c r="C22" s="69" t="s">
        <v>147</v>
      </c>
      <c r="D22" s="70"/>
      <c r="E22" s="93"/>
      <c r="F22" s="88"/>
      <c r="G22" s="88"/>
      <c r="H22" s="88"/>
      <c r="I22" s="89"/>
      <c r="J22" s="90"/>
      <c r="K22" s="90"/>
      <c r="L22" s="190"/>
      <c r="M22" s="92"/>
      <c r="N22" s="88"/>
      <c r="O22" s="90"/>
      <c r="P22" s="88"/>
      <c r="Q22" s="88"/>
      <c r="R22" s="88"/>
      <c r="S22" s="196"/>
      <c r="T22" s="88"/>
      <c r="U22" s="91"/>
      <c r="V22" s="90"/>
      <c r="W22" s="92"/>
      <c r="X22" s="196"/>
      <c r="Y22" s="193"/>
      <c r="Z22" s="92"/>
    </row>
    <row r="23" spans="2:50" ht="22.15" hidden="1" customHeight="1" thickBot="1">
      <c r="B23" s="264"/>
      <c r="C23" s="68" t="s">
        <v>148</v>
      </c>
      <c r="E23" s="94"/>
      <c r="F23" s="88"/>
      <c r="G23" s="88"/>
      <c r="H23" s="88"/>
      <c r="I23" s="89"/>
      <c r="J23" s="95"/>
      <c r="K23" s="90"/>
      <c r="L23" s="190"/>
      <c r="M23" s="92"/>
      <c r="N23" s="88"/>
      <c r="O23" s="90"/>
      <c r="P23" s="88"/>
      <c r="Q23" s="88"/>
      <c r="R23" s="88"/>
      <c r="S23" s="196"/>
      <c r="T23" s="88"/>
      <c r="U23" s="91"/>
      <c r="V23" s="90"/>
      <c r="W23" s="92"/>
      <c r="X23" s="196"/>
      <c r="Y23" s="193"/>
      <c r="Z23" s="92"/>
    </row>
    <row r="24" spans="2:50" ht="22.15" hidden="1" customHeight="1" thickBot="1">
      <c r="B24" s="264"/>
      <c r="C24" s="69" t="s">
        <v>150</v>
      </c>
      <c r="D24" s="70"/>
      <c r="E24" s="93"/>
      <c r="F24" s="111"/>
      <c r="G24" s="111"/>
      <c r="H24" s="88"/>
      <c r="I24" s="89"/>
      <c r="J24" s="95"/>
      <c r="K24" s="90"/>
      <c r="L24" s="190"/>
      <c r="M24" s="92"/>
      <c r="N24" s="88"/>
      <c r="O24" s="90"/>
      <c r="P24" s="88"/>
      <c r="Q24" s="88"/>
      <c r="R24" s="88"/>
      <c r="S24" s="196"/>
      <c r="T24" s="88"/>
      <c r="U24" s="91"/>
      <c r="V24" s="90"/>
      <c r="W24" s="92"/>
      <c r="X24" s="196"/>
      <c r="Y24" s="193"/>
      <c r="Z24" s="92"/>
    </row>
    <row r="25" spans="2:50" ht="22.15" hidden="1" customHeight="1" thickBot="1">
      <c r="B25" s="115"/>
      <c r="C25" s="67" t="s">
        <v>151</v>
      </c>
      <c r="E25" s="93"/>
      <c r="F25" s="111"/>
      <c r="G25" s="111"/>
      <c r="H25" s="88"/>
      <c r="I25" s="89"/>
      <c r="J25" s="90"/>
      <c r="K25" s="90"/>
      <c r="L25" s="190"/>
      <c r="M25" s="92"/>
      <c r="N25" s="88"/>
      <c r="O25" s="90"/>
      <c r="P25" s="88"/>
      <c r="Q25" s="88"/>
      <c r="R25" s="88"/>
      <c r="S25" s="196"/>
      <c r="T25" s="88"/>
      <c r="U25" s="91"/>
      <c r="V25" s="90"/>
      <c r="W25" s="92"/>
      <c r="X25" s="196"/>
      <c r="Y25" s="193"/>
      <c r="Z25" s="92"/>
    </row>
    <row r="26" spans="2:50" ht="22.15" customHeight="1" thickBot="1">
      <c r="B26" s="265"/>
      <c r="C26" s="129" t="str">
        <f>'1. Criteria'!C5</f>
        <v>Anarobic digester and CHP</v>
      </c>
      <c r="D26" s="266" t="s">
        <v>356</v>
      </c>
      <c r="E26" s="71">
        <v>595.23</v>
      </c>
      <c r="F26" s="71">
        <v>1</v>
      </c>
      <c r="G26" s="71">
        <v>24.69</v>
      </c>
      <c r="H26" s="71">
        <v>170</v>
      </c>
      <c r="I26" s="153">
        <v>1000</v>
      </c>
      <c r="J26" s="75">
        <v>2300</v>
      </c>
      <c r="K26" s="75">
        <v>6</v>
      </c>
      <c r="L26" s="119">
        <v>0.38</v>
      </c>
      <c r="M26" s="79">
        <v>17.765999999999998</v>
      </c>
      <c r="N26" s="71">
        <v>2</v>
      </c>
      <c r="O26" s="75">
        <v>2</v>
      </c>
      <c r="P26" s="71">
        <v>1</v>
      </c>
      <c r="Q26" s="71">
        <v>200</v>
      </c>
      <c r="R26" s="71">
        <v>35</v>
      </c>
      <c r="S26" s="153">
        <v>93.5</v>
      </c>
      <c r="T26" s="71">
        <v>0</v>
      </c>
      <c r="U26" s="75">
        <v>5</v>
      </c>
      <c r="V26" s="75">
        <v>93.5</v>
      </c>
      <c r="W26" s="79">
        <v>3</v>
      </c>
      <c r="X26" s="153">
        <v>3</v>
      </c>
      <c r="Y26" s="75">
        <v>3</v>
      </c>
      <c r="Z26" s="79">
        <v>2</v>
      </c>
      <c r="AU26" s="50">
        <v>0.75</v>
      </c>
      <c r="AV26" s="50">
        <v>1</v>
      </c>
      <c r="AX26" s="50">
        <v>0.33</v>
      </c>
    </row>
    <row r="27" spans="2:50" ht="22.15" customHeight="1" thickBot="1">
      <c r="B27" s="265"/>
      <c r="C27" s="130" t="str">
        <f>'1. Criteria'!C6</f>
        <v>PV</v>
      </c>
      <c r="D27" s="266"/>
      <c r="E27" s="105">
        <v>11.7</v>
      </c>
      <c r="F27" s="105">
        <v>1</v>
      </c>
      <c r="G27" s="105">
        <v>160</v>
      </c>
      <c r="H27" s="105">
        <v>150</v>
      </c>
      <c r="I27" s="153">
        <v>7000</v>
      </c>
      <c r="J27" s="75">
        <v>600</v>
      </c>
      <c r="K27" s="75">
        <v>5</v>
      </c>
      <c r="L27" s="119">
        <v>0.99</v>
      </c>
      <c r="M27" s="79">
        <v>135</v>
      </c>
      <c r="N27" s="105">
        <v>3</v>
      </c>
      <c r="O27" s="85">
        <v>1</v>
      </c>
      <c r="P27" s="105">
        <v>1</v>
      </c>
      <c r="Q27" s="105">
        <v>350</v>
      </c>
      <c r="R27" s="105">
        <v>20</v>
      </c>
      <c r="S27" s="197">
        <v>50</v>
      </c>
      <c r="T27" s="105">
        <v>33</v>
      </c>
      <c r="U27" s="85">
        <v>5</v>
      </c>
      <c r="V27" s="75">
        <v>25</v>
      </c>
      <c r="W27" s="79">
        <v>2</v>
      </c>
      <c r="X27" s="197">
        <v>3</v>
      </c>
      <c r="Y27" s="85">
        <v>2</v>
      </c>
      <c r="Z27" s="96">
        <v>2</v>
      </c>
      <c r="AU27" s="50">
        <v>0.75</v>
      </c>
      <c r="AV27" s="50">
        <v>5</v>
      </c>
      <c r="AX27" s="50">
        <v>0.38</v>
      </c>
    </row>
    <row r="28" spans="2:50" ht="22.15" customHeight="1" thickBot="1">
      <c r="B28" s="265"/>
      <c r="C28" s="130" t="str">
        <f>'1. Criteria'!C7</f>
        <v>Stand-alone DG</v>
      </c>
      <c r="D28" s="266"/>
      <c r="E28" s="71">
        <v>38.18</v>
      </c>
      <c r="F28" s="71">
        <v>2</v>
      </c>
      <c r="G28" s="71">
        <v>1040</v>
      </c>
      <c r="H28" s="71">
        <v>1000</v>
      </c>
      <c r="I28" s="153">
        <v>4455</v>
      </c>
      <c r="J28" s="75">
        <v>3000</v>
      </c>
      <c r="K28" s="75">
        <v>3</v>
      </c>
      <c r="L28" s="119">
        <v>0.22</v>
      </c>
      <c r="M28" s="79">
        <v>135</v>
      </c>
      <c r="N28" s="71">
        <v>2</v>
      </c>
      <c r="O28" s="75">
        <v>2</v>
      </c>
      <c r="P28" s="71">
        <v>3</v>
      </c>
      <c r="Q28" s="71">
        <v>750</v>
      </c>
      <c r="R28" s="71">
        <v>5</v>
      </c>
      <c r="S28" s="153">
        <v>59.5</v>
      </c>
      <c r="T28" s="71">
        <v>100</v>
      </c>
      <c r="U28" s="75">
        <v>2</v>
      </c>
      <c r="V28" s="75">
        <v>91</v>
      </c>
      <c r="W28" s="79">
        <v>1</v>
      </c>
      <c r="X28" s="153">
        <v>1</v>
      </c>
      <c r="Y28" s="75">
        <v>1</v>
      </c>
      <c r="Z28" s="79">
        <v>5</v>
      </c>
      <c r="AU28" s="50">
        <v>0.5</v>
      </c>
      <c r="AV28" s="50">
        <v>1</v>
      </c>
      <c r="AX28" s="50">
        <v>1</v>
      </c>
    </row>
    <row r="29" spans="2:50" ht="22.15" customHeight="1" thickBot="1">
      <c r="B29" s="265"/>
      <c r="C29" s="130"/>
      <c r="D29" s="266"/>
      <c r="E29" s="72"/>
      <c r="F29" s="71"/>
      <c r="G29" s="71"/>
      <c r="H29" s="71"/>
      <c r="I29" s="101"/>
      <c r="J29" s="97"/>
      <c r="K29" s="97"/>
      <c r="L29" s="188"/>
      <c r="M29" s="102"/>
      <c r="N29" s="71"/>
      <c r="O29" s="77"/>
      <c r="P29" s="71"/>
      <c r="Q29" s="71"/>
      <c r="R29" s="71"/>
      <c r="S29" s="78"/>
      <c r="T29" s="71"/>
      <c r="U29" s="77"/>
      <c r="V29" s="75"/>
      <c r="W29" s="79"/>
      <c r="X29" s="153"/>
      <c r="Y29" s="75"/>
      <c r="Z29" s="79"/>
      <c r="AU29" s="50">
        <v>0.27</v>
      </c>
      <c r="AV29" s="50">
        <v>3</v>
      </c>
      <c r="AX29" s="50">
        <v>1</v>
      </c>
    </row>
    <row r="30" spans="2:50" ht="22.15" hidden="1" customHeight="1" thickBot="1">
      <c r="B30" s="265"/>
      <c r="C30" s="131" t="s">
        <v>146</v>
      </c>
      <c r="E30" s="71"/>
      <c r="F30" s="71"/>
      <c r="G30" s="71"/>
      <c r="H30" s="71"/>
      <c r="I30" s="101"/>
      <c r="J30" s="97"/>
      <c r="K30" s="97"/>
      <c r="L30" s="102"/>
      <c r="M30" s="188"/>
      <c r="N30" s="71"/>
      <c r="O30" s="77"/>
      <c r="P30" s="71"/>
      <c r="Q30" s="71"/>
      <c r="R30" s="71"/>
      <c r="S30" s="78"/>
      <c r="T30" s="71"/>
      <c r="U30" s="77"/>
      <c r="V30" s="75"/>
      <c r="W30" s="75"/>
      <c r="X30" s="97"/>
      <c r="Y30" s="97"/>
      <c r="Z30" s="97"/>
      <c r="AU30" s="50">
        <v>0.2</v>
      </c>
      <c r="AV30" s="50">
        <v>4</v>
      </c>
      <c r="AX30" s="50">
        <v>1</v>
      </c>
    </row>
    <row r="31" spans="2:50" ht="22.15" hidden="1" customHeight="1">
      <c r="B31" s="265"/>
      <c r="C31" s="130" t="s">
        <v>147</v>
      </c>
      <c r="E31" s="105"/>
      <c r="F31" s="105"/>
      <c r="G31" s="105"/>
      <c r="H31" s="105"/>
      <c r="I31" s="99"/>
      <c r="J31" s="85"/>
      <c r="K31" s="85"/>
      <c r="L31" s="100"/>
      <c r="M31" s="187"/>
      <c r="N31" s="105"/>
      <c r="O31" s="86"/>
      <c r="P31" s="105"/>
      <c r="Q31" s="105"/>
      <c r="R31" s="105"/>
      <c r="S31" s="103"/>
      <c r="T31" s="105"/>
      <c r="U31" s="86"/>
      <c r="V31" s="75"/>
      <c r="W31" s="75"/>
      <c r="X31" s="75"/>
      <c r="Y31" s="85"/>
      <c r="Z31" s="85"/>
      <c r="AU31" s="50">
        <v>0.75</v>
      </c>
      <c r="AV31" s="50">
        <v>1</v>
      </c>
      <c r="AX31" s="50">
        <v>0.15</v>
      </c>
    </row>
    <row r="32" spans="2:50" ht="22.15" hidden="1" customHeight="1">
      <c r="B32" s="265"/>
      <c r="C32" s="131" t="s">
        <v>148</v>
      </c>
      <c r="E32" s="71"/>
      <c r="F32" s="71"/>
      <c r="G32" s="71"/>
      <c r="H32" s="71"/>
      <c r="I32" s="74"/>
      <c r="J32" s="75"/>
      <c r="K32" s="75"/>
      <c r="L32" s="76"/>
      <c r="M32" s="119"/>
      <c r="N32" s="71"/>
      <c r="O32" s="77"/>
      <c r="P32" s="71"/>
      <c r="Q32" s="71"/>
      <c r="R32" s="71"/>
      <c r="S32" s="78"/>
      <c r="T32" s="71"/>
      <c r="U32" s="77"/>
      <c r="V32" s="75"/>
      <c r="W32" s="75"/>
      <c r="X32" s="75"/>
      <c r="Y32" s="75"/>
      <c r="Z32" s="75"/>
      <c r="AU32" s="50">
        <v>0.75</v>
      </c>
      <c r="AV32" s="50">
        <v>5</v>
      </c>
      <c r="AX32" s="50">
        <v>0.45</v>
      </c>
    </row>
    <row r="33" spans="2:50" ht="22.5" hidden="1" customHeight="1">
      <c r="B33" s="265"/>
      <c r="C33" s="130" t="s">
        <v>150</v>
      </c>
      <c r="E33" s="117"/>
      <c r="F33" s="117"/>
      <c r="G33" s="117"/>
      <c r="H33" s="117"/>
      <c r="I33" s="101"/>
      <c r="J33" s="97"/>
      <c r="K33" s="97"/>
      <c r="L33" s="102"/>
      <c r="M33" s="188"/>
      <c r="N33" s="117"/>
      <c r="O33" s="98"/>
      <c r="P33" s="117"/>
      <c r="Q33" s="117"/>
      <c r="R33" s="117"/>
      <c r="S33" s="104"/>
      <c r="T33" s="117"/>
      <c r="U33" s="98"/>
      <c r="V33" s="75"/>
      <c r="W33" s="75"/>
      <c r="X33" s="75"/>
      <c r="Y33" s="97"/>
      <c r="Z33" s="97"/>
      <c r="AU33" s="50">
        <v>0.3</v>
      </c>
      <c r="AV33" s="50">
        <v>3</v>
      </c>
      <c r="AX33" s="50">
        <v>0.4</v>
      </c>
    </row>
    <row r="34" spans="2:50" ht="22.5" hidden="1" customHeight="1">
      <c r="B34" s="105"/>
      <c r="C34" s="130" t="s">
        <v>151</v>
      </c>
      <c r="E34" s="71"/>
      <c r="F34" s="71"/>
      <c r="G34" s="71"/>
      <c r="H34" s="71"/>
      <c r="I34" s="101"/>
      <c r="J34" s="75"/>
      <c r="K34" s="75"/>
      <c r="L34" s="119"/>
      <c r="M34" s="188"/>
      <c r="N34" s="101"/>
      <c r="O34" s="77"/>
      <c r="P34" s="71"/>
      <c r="Q34" s="71"/>
      <c r="R34" s="71"/>
      <c r="S34" s="78"/>
      <c r="T34" s="71"/>
      <c r="U34" s="77"/>
      <c r="V34" s="75"/>
      <c r="W34" s="75"/>
      <c r="X34" s="75"/>
      <c r="Y34" s="97"/>
      <c r="Z34" s="97"/>
    </row>
    <row r="35" spans="2:50" ht="11.5" customHeight="1">
      <c r="B35" s="105"/>
      <c r="E35" s="105"/>
      <c r="F35" s="265"/>
      <c r="G35" s="265"/>
      <c r="H35" s="105"/>
      <c r="K35" s="105"/>
      <c r="O35" s="105"/>
      <c r="P35" s="105"/>
      <c r="Q35" s="105"/>
      <c r="R35" s="105"/>
      <c r="S35" s="105"/>
      <c r="T35" s="105"/>
      <c r="U35" s="105"/>
      <c r="V35" s="105"/>
      <c r="W35" s="105"/>
      <c r="X35" s="105"/>
      <c r="Y35" s="105"/>
      <c r="Z35" s="105"/>
    </row>
    <row r="36" spans="2:50" ht="11.5" customHeight="1">
      <c r="B36" s="105"/>
      <c r="E36" s="105"/>
      <c r="F36" s="265"/>
      <c r="G36" s="265"/>
      <c r="H36" s="105"/>
      <c r="K36" s="105"/>
      <c r="O36" s="105"/>
      <c r="P36" s="105"/>
      <c r="Q36" s="105"/>
      <c r="R36" s="105"/>
      <c r="S36" s="105"/>
      <c r="T36" s="105"/>
      <c r="U36" s="105"/>
      <c r="V36" s="105"/>
      <c r="W36" s="105"/>
      <c r="X36" s="105"/>
      <c r="Y36" s="105"/>
      <c r="Z36" s="105"/>
    </row>
    <row r="37" spans="2:50" ht="11.5" customHeight="1" thickBot="1">
      <c r="B37" s="105"/>
      <c r="E37" s="105"/>
      <c r="F37" s="105"/>
      <c r="G37" s="105"/>
      <c r="H37" s="105"/>
      <c r="I37" s="105"/>
      <c r="J37" s="105"/>
      <c r="K37" s="105"/>
      <c r="L37" s="105"/>
      <c r="M37" s="105"/>
      <c r="N37" s="105"/>
      <c r="O37" s="105"/>
      <c r="P37" s="105"/>
      <c r="Q37" s="105"/>
      <c r="R37" s="105"/>
      <c r="S37" s="105"/>
      <c r="T37" s="105"/>
      <c r="U37" s="105"/>
      <c r="V37" s="105"/>
      <c r="W37" s="105"/>
      <c r="X37" s="105"/>
      <c r="Y37" s="105"/>
      <c r="Z37" s="105"/>
    </row>
    <row r="38" spans="2:50" ht="27" customHeight="1" thickBot="1">
      <c r="N38" s="269" t="s">
        <v>15</v>
      </c>
      <c r="O38" s="270"/>
      <c r="P38" s="271"/>
      <c r="Q38" s="118"/>
      <c r="R38" s="118"/>
      <c r="S38" s="62" t="s">
        <v>126</v>
      </c>
      <c r="T38" s="63" t="s">
        <v>128</v>
      </c>
      <c r="U38" s="118" t="s">
        <v>128</v>
      </c>
      <c r="V38" s="118" t="s">
        <v>127</v>
      </c>
    </row>
    <row r="39" spans="2:50" ht="27" customHeight="1">
      <c r="N39" s="247" t="str">
        <f>'1. Criteria'!C5</f>
        <v>Anarobic digester and CHP</v>
      </c>
      <c r="O39" s="248"/>
      <c r="P39" s="248"/>
      <c r="Q39" s="249"/>
      <c r="R39" s="164"/>
      <c r="S39" s="198">
        <f>Ranking_calc!E51</f>
        <v>1</v>
      </c>
      <c r="T39" s="198">
        <f>Ranking_calc!E53</f>
        <v>11</v>
      </c>
      <c r="U39" s="164">
        <f>Ranking_calc!E53</f>
        <v>11</v>
      </c>
      <c r="V39" s="164">
        <f>Ranking_calc!E52</f>
        <v>6</v>
      </c>
    </row>
    <row r="40" spans="2:50" ht="40.5" customHeight="1">
      <c r="N40" s="250" t="str">
        <f>'1. Criteria'!C6</f>
        <v>PV</v>
      </c>
      <c r="O40" s="251"/>
      <c r="P40" s="251"/>
      <c r="Q40" s="252"/>
      <c r="R40" s="116"/>
      <c r="S40" s="64">
        <f>Ranking_calc!F51</f>
        <v>3</v>
      </c>
      <c r="T40" s="60">
        <f>Ranking_calc!F53</f>
        <v>6</v>
      </c>
      <c r="U40" s="116">
        <f>Ranking_calc!F53</f>
        <v>6</v>
      </c>
      <c r="V40" s="116">
        <f>Ranking_calc!F52</f>
        <v>7</v>
      </c>
    </row>
    <row r="41" spans="2:50" ht="48" customHeight="1" thickBot="1">
      <c r="N41" s="253" t="str">
        <f>'1. Criteria'!C7</f>
        <v>Stand-alone DG</v>
      </c>
      <c r="O41" s="254"/>
      <c r="P41" s="254"/>
      <c r="Q41" s="255"/>
      <c r="R41" s="157"/>
      <c r="S41" s="65">
        <f>Ranking_calc!G51</f>
        <v>2</v>
      </c>
      <c r="T41" s="61">
        <f>Ranking_calc!G53</f>
        <v>6</v>
      </c>
      <c r="U41" s="157">
        <f>Ranking_calc!G53</f>
        <v>6</v>
      </c>
      <c r="V41" s="157">
        <f>Ranking_calc!G52</f>
        <v>8</v>
      </c>
    </row>
    <row r="42" spans="2:50" ht="27" customHeight="1">
      <c r="N42" s="105"/>
      <c r="O42" s="265"/>
      <c r="P42" s="265"/>
      <c r="Q42" s="105"/>
      <c r="R42" s="105"/>
      <c r="S42" s="85"/>
      <c r="T42" s="105"/>
      <c r="U42" s="85"/>
    </row>
    <row r="43" spans="2:50" ht="27" customHeight="1">
      <c r="N43" s="105"/>
      <c r="O43" s="265"/>
      <c r="P43" s="265"/>
      <c r="Q43" s="105"/>
      <c r="R43" s="105"/>
      <c r="S43" s="85"/>
      <c r="T43" s="105"/>
      <c r="U43" s="105"/>
    </row>
    <row r="44" spans="2:50" ht="27" customHeight="1">
      <c r="N44" s="105"/>
      <c r="O44" s="265"/>
      <c r="P44" s="265"/>
      <c r="Q44" s="105"/>
      <c r="R44" s="105"/>
      <c r="S44" s="85"/>
      <c r="T44" s="105"/>
      <c r="U44" s="105"/>
    </row>
    <row r="45" spans="2:50" ht="27" customHeight="1">
      <c r="N45" s="105"/>
      <c r="O45" s="265"/>
      <c r="P45" s="265"/>
      <c r="Q45" s="105"/>
      <c r="R45" s="105"/>
      <c r="S45" s="85"/>
      <c r="T45" s="105"/>
      <c r="U45" s="105"/>
    </row>
    <row r="46" spans="2:50" ht="27" customHeight="1">
      <c r="N46" s="105"/>
      <c r="O46" s="265"/>
      <c r="P46" s="265"/>
      <c r="Q46" s="105"/>
      <c r="R46" s="105"/>
      <c r="S46" s="85"/>
      <c r="T46" s="105"/>
      <c r="U46" s="105"/>
    </row>
    <row r="47" spans="2:50">
      <c r="N47" s="105"/>
      <c r="O47" s="105"/>
      <c r="P47" s="105"/>
      <c r="Q47" s="105"/>
      <c r="R47" s="105"/>
      <c r="S47" s="85"/>
      <c r="T47" s="85"/>
      <c r="U47" s="105"/>
      <c r="V47" s="105"/>
      <c r="W47" s="105"/>
      <c r="X47" s="105"/>
      <c r="Y47" s="105"/>
      <c r="Z47" s="105"/>
    </row>
    <row r="48" spans="2:50">
      <c r="N48" s="105"/>
      <c r="O48" s="105"/>
      <c r="P48" s="105"/>
      <c r="Q48" s="105"/>
      <c r="R48" s="105"/>
      <c r="S48" s="85"/>
      <c r="T48" s="85"/>
      <c r="U48" s="105"/>
      <c r="V48" s="105"/>
      <c r="W48" s="105"/>
      <c r="X48" s="105"/>
      <c r="Y48" s="105"/>
      <c r="Z48" s="105"/>
    </row>
  </sheetData>
  <mergeCells count="16">
    <mergeCell ref="E2:Z3"/>
    <mergeCell ref="O46:P46"/>
    <mergeCell ref="O42:P42"/>
    <mergeCell ref="O43:P43"/>
    <mergeCell ref="O44:P44"/>
    <mergeCell ref="N39:Q39"/>
    <mergeCell ref="N40:Q40"/>
    <mergeCell ref="N41:Q41"/>
    <mergeCell ref="N38:P38"/>
    <mergeCell ref="O45:P45"/>
    <mergeCell ref="C4:C14"/>
    <mergeCell ref="B17:B24"/>
    <mergeCell ref="B26:B33"/>
    <mergeCell ref="F35:G36"/>
    <mergeCell ref="D16:D19"/>
    <mergeCell ref="D26:D29"/>
  </mergeCells>
  <phoneticPr fontId="22" type="noConversion"/>
  <conditionalFormatting sqref="S47:T48 T44 S39:T43">
    <cfRule type="colorScale" priority="51">
      <colorScale>
        <cfvo type="num" val="1"/>
        <cfvo type="num" val="3"/>
        <cfvo type="num" val="4"/>
        <color theme="7"/>
        <color theme="7" tint="0.59999389629810485"/>
        <color theme="0" tint="-0.249977111117893"/>
      </colorScale>
    </cfRule>
  </conditionalFormatting>
  <conditionalFormatting sqref="U47:U48 T39:T44">
    <cfRule type="colorScale" priority="50">
      <colorScale>
        <cfvo type="num" val="0"/>
        <cfvo type="max"/>
        <color rgb="FFFCFCFF"/>
        <color rgb="FF63BE7B"/>
      </colorScale>
    </cfRule>
  </conditionalFormatting>
  <conditionalFormatting sqref="E26:U34">
    <cfRule type="expression" dxfId="74" priority="48">
      <formula>E26&lt;&gt;E17</formula>
    </cfRule>
  </conditionalFormatting>
  <conditionalFormatting sqref="V30:Z34 V26:X29 Z26:Z29">
    <cfRule type="expression" dxfId="73" priority="43">
      <formula>V26&lt;&gt;V17</formula>
    </cfRule>
  </conditionalFormatting>
  <conditionalFormatting sqref="U45">
    <cfRule type="colorScale" priority="41">
      <colorScale>
        <cfvo type="min"/>
        <cfvo type="max"/>
        <color rgb="FFFCFCFF"/>
        <color rgb="FFF8696B"/>
      </colorScale>
    </cfRule>
  </conditionalFormatting>
  <conditionalFormatting sqref="S44:S46">
    <cfRule type="colorScale" priority="38">
      <colorScale>
        <cfvo type="num" val="1"/>
        <cfvo type="num" val="3"/>
        <cfvo type="num" val="4"/>
        <color theme="7"/>
        <color theme="7" tint="0.59999389629810485"/>
        <color theme="0" tint="-0.249977111117893"/>
      </colorScale>
    </cfRule>
  </conditionalFormatting>
  <conditionalFormatting sqref="T45:T46">
    <cfRule type="colorScale" priority="37">
      <colorScale>
        <cfvo type="num" val="1"/>
        <cfvo type="num" val="3"/>
        <cfvo type="num" val="4"/>
        <color theme="7"/>
        <color theme="7" tint="0.59999389629810485"/>
        <color theme="0" tint="-0.249977111117893"/>
      </colorScale>
    </cfRule>
  </conditionalFormatting>
  <conditionalFormatting sqref="T45:T46">
    <cfRule type="colorScale" priority="36">
      <colorScale>
        <cfvo type="num" val="0"/>
        <cfvo type="max"/>
        <color rgb="FFFCFCFF"/>
        <color rgb="FF63BE7B"/>
      </colorScale>
    </cfRule>
  </conditionalFormatting>
  <conditionalFormatting sqref="U46">
    <cfRule type="colorScale" priority="35">
      <colorScale>
        <cfvo type="min"/>
        <cfvo type="max"/>
        <color rgb="FFFCFCFF"/>
        <color rgb="FFF8696B"/>
      </colorScale>
    </cfRule>
  </conditionalFormatting>
  <conditionalFormatting sqref="Y26:Y29">
    <cfRule type="expression" dxfId="72" priority="11">
      <formula>Y26&lt;&gt;Y17</formula>
    </cfRule>
  </conditionalFormatting>
  <conditionalFormatting sqref="V47:Z48 U42:U44 U39:V41">
    <cfRule type="colorScale" priority="2294">
      <colorScale>
        <cfvo type="min"/>
        <cfvo type="max"/>
        <color rgb="FFFCFCFF"/>
        <color rgb="FFF8696B"/>
      </colorScale>
    </cfRule>
  </conditionalFormatting>
  <conditionalFormatting sqref="E15:Z15">
    <cfRule type="colorScale" priority="2296">
      <colorScale>
        <cfvo type="num" val="0"/>
        <cfvo type="num" val="1"/>
        <cfvo type="max"/>
        <color rgb="FFF8696B"/>
        <color rgb="FFFFEB84"/>
        <color rgb="FF63BE7B"/>
      </colorScale>
    </cfRule>
  </conditionalFormatting>
  <conditionalFormatting sqref="S39:S46 T39">
    <cfRule type="colorScale" priority="2484">
      <colorScale>
        <cfvo type="min"/>
        <cfvo type="percentile" val="50"/>
        <cfvo type="max"/>
        <color rgb="FF63BE7B"/>
        <color rgb="FFFFEB84"/>
        <color rgb="FFF8696B"/>
      </colorScale>
    </cfRule>
  </conditionalFormatting>
  <conditionalFormatting sqref="S39:S41">
    <cfRule type="colorScale" priority="10">
      <colorScale>
        <cfvo type="min"/>
        <cfvo type="percentile" val="50"/>
        <cfvo type="max"/>
        <color rgb="FF63BE7B"/>
        <color rgb="FFFFEB84"/>
        <color rgb="FFF8696B"/>
      </colorScale>
    </cfRule>
  </conditionalFormatting>
  <conditionalFormatting sqref="V39:V41">
    <cfRule type="colorScale" priority="9">
      <colorScale>
        <cfvo type="min"/>
        <cfvo type="max"/>
        <color rgb="FFFCFCFF"/>
        <color rgb="FFF8696B"/>
      </colorScale>
    </cfRule>
  </conditionalFormatting>
  <conditionalFormatting sqref="U39:U41">
    <cfRule type="colorScale" priority="1">
      <colorScale>
        <cfvo type="min"/>
        <cfvo type="max"/>
        <color rgb="FFFCFCFF"/>
        <color rgb="FF63BE7B"/>
      </colorScale>
    </cfRule>
  </conditionalFormatting>
  <dataValidations count="1">
    <dataValidation type="list" allowBlank="1" showInputMessage="1" showErrorMessage="1" sqref="C3" xr:uid="{00000000-0002-0000-1800-000000000000}">
      <formula1>$D$6:$D$14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Reset">
                <anchor moveWithCells="1" sizeWithCells="1">
                  <from>
                    <xdr:col>1</xdr:col>
                    <xdr:colOff>44450</xdr:colOff>
                    <xdr:row>16</xdr:row>
                    <xdr:rowOff>0</xdr:rowOff>
                  </from>
                  <to>
                    <xdr:col>1</xdr:col>
                    <xdr:colOff>387350</xdr:colOff>
                    <xdr:row>29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EC29C-39A7-4155-937D-ACAB54B3A9F5}">
  <sheetPr codeName="Feuil19">
    <tabColor rgb="FF7030A0"/>
  </sheetPr>
  <dimension ref="A1:Q36"/>
  <sheetViews>
    <sheetView showGridLines="0" zoomScale="88" zoomScaleNormal="88" workbookViewId="0">
      <selection activeCell="O1" sqref="O1:Q3"/>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0" width="43.7265625" style="2" customWidth="1"/>
    <col min="11" max="16384" width="11.54296875" style="2"/>
  </cols>
  <sheetData>
    <row r="1" spans="1:17" ht="54.65" customHeight="1" thickBot="1">
      <c r="C1" s="292" t="s">
        <v>358</v>
      </c>
      <c r="D1" s="293"/>
      <c r="E1" s="293"/>
      <c r="F1" s="293"/>
      <c r="G1" s="293"/>
      <c r="H1" s="293"/>
      <c r="I1" s="293"/>
      <c r="J1" s="293"/>
      <c r="O1" s="288" t="s">
        <v>365</v>
      </c>
      <c r="P1" s="289"/>
      <c r="Q1" s="289"/>
    </row>
    <row r="2" spans="1:17" ht="24" customHeight="1" thickBot="1">
      <c r="C2" s="294" t="s">
        <v>359</v>
      </c>
      <c r="D2" s="295"/>
      <c r="E2" s="295"/>
      <c r="F2" s="295"/>
      <c r="G2" s="295"/>
      <c r="H2" s="295"/>
      <c r="I2" s="295"/>
      <c r="J2" s="295"/>
      <c r="O2" s="288"/>
      <c r="P2" s="289"/>
      <c r="Q2" s="289"/>
    </row>
    <row r="3" spans="1:17" ht="13.5" thickBot="1">
      <c r="C3" s="3"/>
      <c r="D3" s="3"/>
      <c r="E3" s="3"/>
      <c r="F3" s="3"/>
      <c r="G3" s="3"/>
      <c r="H3" s="4"/>
      <c r="O3" s="288"/>
      <c r="P3" s="289"/>
      <c r="Q3" s="289"/>
    </row>
    <row r="4" spans="1:17" ht="74.5" customHeight="1">
      <c r="C4" s="123" t="s">
        <v>132</v>
      </c>
      <c r="D4" s="296" t="s">
        <v>364</v>
      </c>
      <c r="E4" s="297"/>
      <c r="F4" s="297"/>
      <c r="G4" s="297"/>
      <c r="H4" s="297"/>
      <c r="I4" s="297"/>
      <c r="J4" s="297"/>
    </row>
    <row r="5" spans="1:17" ht="13">
      <c r="A5" s="2" t="s">
        <v>3</v>
      </c>
      <c r="C5" s="124" t="s">
        <v>1</v>
      </c>
      <c r="D5" s="298" t="s">
        <v>360</v>
      </c>
      <c r="E5" s="299"/>
      <c r="F5" s="299"/>
      <c r="G5" s="299"/>
      <c r="H5" s="299"/>
      <c r="I5" s="299"/>
      <c r="J5" s="299"/>
    </row>
    <row r="6" spans="1:17" ht="13" customHeight="1">
      <c r="C6" s="124" t="s">
        <v>4</v>
      </c>
      <c r="D6" s="290" t="s">
        <v>361</v>
      </c>
      <c r="E6" s="291"/>
      <c r="F6" s="291"/>
      <c r="G6" s="291"/>
      <c r="H6" s="291"/>
      <c r="I6" s="291"/>
      <c r="J6" s="291"/>
    </row>
    <row r="7" spans="1:17" ht="13">
      <c r="C7" s="124" t="s">
        <v>2</v>
      </c>
      <c r="D7" s="298" t="s">
        <v>362</v>
      </c>
      <c r="E7" s="299"/>
      <c r="F7" s="299"/>
      <c r="G7" s="299"/>
      <c r="H7" s="299"/>
      <c r="I7" s="299"/>
      <c r="J7" s="299"/>
    </row>
    <row r="8" spans="1:17" ht="15" customHeight="1" thickBot="1">
      <c r="B8" s="23"/>
      <c r="C8" s="125" t="s">
        <v>156</v>
      </c>
      <c r="D8" s="300" t="s">
        <v>363</v>
      </c>
      <c r="E8" s="301"/>
      <c r="F8" s="301"/>
      <c r="G8" s="301"/>
      <c r="H8" s="301"/>
      <c r="I8" s="301"/>
      <c r="J8" s="301"/>
    </row>
    <row r="9" spans="1:17" ht="13.5" thickBot="1">
      <c r="C9" s="1"/>
      <c r="D9" s="1"/>
      <c r="E9" s="1"/>
      <c r="F9" s="1"/>
      <c r="G9" s="1"/>
      <c r="H9" s="1"/>
    </row>
    <row r="10" spans="1:17" ht="19.899999999999999" customHeight="1" thickBot="1">
      <c r="C10" s="302" t="s">
        <v>6</v>
      </c>
      <c r="D10" s="303"/>
      <c r="E10" s="303"/>
      <c r="F10" s="303"/>
      <c r="G10" s="303"/>
      <c r="H10" s="303"/>
      <c r="I10" s="303"/>
      <c r="J10" s="303"/>
    </row>
    <row r="11" spans="1:17" ht="28" customHeight="1">
      <c r="C11" s="126" t="s">
        <v>10</v>
      </c>
      <c r="D11" s="290" t="s">
        <v>325</v>
      </c>
      <c r="E11" s="291"/>
      <c r="F11" s="291"/>
      <c r="G11" s="291"/>
      <c r="H11" s="291"/>
      <c r="I11" s="291"/>
      <c r="J11" s="291"/>
    </row>
    <row r="12" spans="1:17" ht="13" thickBot="1"/>
    <row r="13" spans="1:17" ht="19.899999999999999" customHeight="1" thickBot="1">
      <c r="C13" s="302" t="s">
        <v>8</v>
      </c>
      <c r="D13" s="303"/>
      <c r="E13" s="303"/>
      <c r="F13" s="303"/>
      <c r="G13" s="303"/>
      <c r="H13" s="303"/>
      <c r="I13" s="303"/>
      <c r="J13" s="303"/>
    </row>
    <row r="14" spans="1:17" ht="28.5" customHeight="1">
      <c r="C14" s="127" t="s">
        <v>9</v>
      </c>
      <c r="D14" s="290" t="s">
        <v>326</v>
      </c>
      <c r="E14" s="291"/>
      <c r="F14" s="291"/>
      <c r="G14" s="291"/>
      <c r="H14" s="291"/>
      <c r="I14" s="291"/>
      <c r="J14" s="291"/>
    </row>
    <row r="15" spans="1:17" ht="28" customHeight="1" thickBot="1">
      <c r="C15" s="125" t="s">
        <v>157</v>
      </c>
      <c r="D15" s="290" t="s">
        <v>327</v>
      </c>
      <c r="E15" s="291"/>
      <c r="F15" s="291"/>
      <c r="G15" s="291"/>
      <c r="H15" s="291"/>
      <c r="I15" s="291"/>
      <c r="J15" s="291"/>
    </row>
    <row r="16" spans="1:17">
      <c r="C16" s="2" t="s">
        <v>7</v>
      </c>
    </row>
    <row r="17" spans="2:13" ht="13" thickBot="1"/>
    <row r="18" spans="2:13" ht="19.899999999999999" customHeight="1" thickBot="1">
      <c r="C18" s="279" t="s">
        <v>20</v>
      </c>
      <c r="D18" s="280"/>
      <c r="E18" s="280"/>
      <c r="F18" s="280"/>
      <c r="G18" s="280"/>
      <c r="H18" s="280"/>
      <c r="I18" s="280"/>
      <c r="J18" s="280"/>
    </row>
    <row r="19" spans="2:13" ht="26.5" customHeight="1" thickBot="1">
      <c r="C19" s="281" t="s">
        <v>357</v>
      </c>
      <c r="D19" s="281"/>
      <c r="E19" s="281"/>
      <c r="F19" s="281"/>
      <c r="G19" s="281"/>
      <c r="H19" s="281"/>
      <c r="I19" s="281"/>
      <c r="J19" s="281"/>
    </row>
    <row r="20" spans="2:13" ht="16" thickBot="1">
      <c r="B20" s="2" t="s">
        <v>98</v>
      </c>
      <c r="C20" s="282" t="s">
        <v>21</v>
      </c>
      <c r="D20" s="283"/>
      <c r="E20" s="283"/>
      <c r="F20" s="283"/>
      <c r="G20" s="283"/>
      <c r="H20" s="283"/>
      <c r="I20" s="283"/>
      <c r="J20" s="283"/>
    </row>
    <row r="21" spans="2:13" ht="38" customHeight="1" thickBot="1">
      <c r="B21" s="2" t="s">
        <v>99</v>
      </c>
      <c r="C21" s="13" t="str">
        <f>$D$8</f>
        <v>Example: €/kW</v>
      </c>
      <c r="D21" s="39" t="s">
        <v>332</v>
      </c>
      <c r="E21" s="39"/>
      <c r="F21" s="39" t="s">
        <v>330</v>
      </c>
      <c r="G21" s="39"/>
      <c r="H21" s="39" t="s">
        <v>256</v>
      </c>
      <c r="I21" s="39"/>
      <c r="J21" s="12" t="s">
        <v>86</v>
      </c>
      <c r="K21" s="284" t="s">
        <v>323</v>
      </c>
      <c r="L21" s="285"/>
      <c r="M21" s="285"/>
    </row>
    <row r="22" spans="2:13" ht="13.5" customHeight="1" thickBot="1">
      <c r="C22" s="128" t="s">
        <v>158</v>
      </c>
      <c r="D22" s="38">
        <v>1000</v>
      </c>
      <c r="E22" s="34" t="s">
        <v>98</v>
      </c>
      <c r="F22" s="38">
        <v>12000</v>
      </c>
      <c r="G22" s="34" t="s">
        <v>99</v>
      </c>
      <c r="H22" s="38">
        <v>150</v>
      </c>
      <c r="I22" s="34" t="s">
        <v>98</v>
      </c>
      <c r="J22" s="33" t="s">
        <v>328</v>
      </c>
      <c r="K22" s="284"/>
      <c r="L22" s="285"/>
      <c r="M22" s="285"/>
    </row>
    <row r="23" spans="2:13" ht="13.5" thickBot="1">
      <c r="C23" s="128" t="s">
        <v>158</v>
      </c>
      <c r="D23" s="38"/>
      <c r="E23" s="34" t="s">
        <v>98</v>
      </c>
      <c r="F23" s="38">
        <v>1500</v>
      </c>
      <c r="G23" s="34" t="s">
        <v>98</v>
      </c>
      <c r="H23" s="38">
        <v>300</v>
      </c>
      <c r="I23" s="34" t="s">
        <v>98</v>
      </c>
      <c r="J23" s="33"/>
      <c r="K23" s="284"/>
      <c r="L23" s="285"/>
      <c r="M23" s="285"/>
    </row>
    <row r="24" spans="2:13" ht="13.5" thickBot="1">
      <c r="C24" s="128" t="s">
        <v>158</v>
      </c>
      <c r="D24" s="38">
        <v>800</v>
      </c>
      <c r="E24" s="34" t="s">
        <v>99</v>
      </c>
      <c r="F24" s="38">
        <v>600</v>
      </c>
      <c r="G24" s="34" t="s">
        <v>98</v>
      </c>
      <c r="H24" s="38">
        <v>800</v>
      </c>
      <c r="I24" s="34" t="s">
        <v>99</v>
      </c>
      <c r="J24" s="33"/>
    </row>
    <row r="25" spans="2:13" ht="25.5" thickBot="1">
      <c r="C25" s="112" t="s">
        <v>307</v>
      </c>
      <c r="D25" s="38"/>
      <c r="E25" s="34"/>
      <c r="F25" s="38">
        <v>1000</v>
      </c>
      <c r="G25" s="34" t="s">
        <v>98</v>
      </c>
      <c r="H25" s="38"/>
      <c r="I25" s="34"/>
      <c r="J25" s="33"/>
    </row>
    <row r="26" spans="2:13" ht="13">
      <c r="C26" s="19" t="s">
        <v>16</v>
      </c>
      <c r="D26" s="286">
        <f>MIN(D22:D25)</f>
        <v>800</v>
      </c>
      <c r="E26" s="287"/>
      <c r="F26" s="287">
        <f>MIN(F22:F25)</f>
        <v>600</v>
      </c>
      <c r="G26" s="287"/>
      <c r="H26" s="287">
        <f>MIN(H22:H25)</f>
        <v>150</v>
      </c>
      <c r="I26" s="287"/>
      <c r="J26" s="167"/>
    </row>
    <row r="27" spans="2:13" ht="13.5" thickBot="1">
      <c r="C27" s="20" t="s">
        <v>17</v>
      </c>
      <c r="D27" s="277">
        <f>MAX(D22:D25)</f>
        <v>1000</v>
      </c>
      <c r="E27" s="278"/>
      <c r="F27" s="278">
        <f>MAX(F22:F25)</f>
        <v>12000</v>
      </c>
      <c r="G27" s="278"/>
      <c r="H27" s="278">
        <f>MAX(H22:H25)</f>
        <v>800</v>
      </c>
      <c r="I27" s="278"/>
      <c r="J27" s="168"/>
    </row>
    <row r="28" spans="2:13" ht="13.5" thickBot="1">
      <c r="C28" s="21" t="s">
        <v>72</v>
      </c>
      <c r="D28" s="273">
        <f>MEDIAN(D22:D25)</f>
        <v>900</v>
      </c>
      <c r="E28" s="274"/>
      <c r="F28" s="274">
        <f>MEDIAN(F22:F25)</f>
        <v>1250</v>
      </c>
      <c r="G28" s="274"/>
      <c r="H28" s="274">
        <f>MEDIAN(H22:H25)</f>
        <v>300</v>
      </c>
      <c r="I28" s="274"/>
      <c r="J28" s="169"/>
    </row>
    <row r="29" spans="2:13" ht="13.5" thickBot="1">
      <c r="C29" s="20" t="s">
        <v>19</v>
      </c>
      <c r="D29" s="273">
        <f>AVERAGEIF(E22:E25,"Y",D22:D25)</f>
        <v>1000</v>
      </c>
      <c r="E29" s="274"/>
      <c r="F29" s="274">
        <f>AVERAGEIF(G22:G25,"Y",F22:F25)</f>
        <v>1033.3333333333333</v>
      </c>
      <c r="G29" s="274"/>
      <c r="H29" s="274">
        <f>AVERAGEIF(I22:I25,"Y",H22:H25)</f>
        <v>225</v>
      </c>
      <c r="I29" s="274"/>
      <c r="J29" s="169"/>
    </row>
    <row r="30" spans="2:13" ht="13.5" customHeight="1" thickBot="1">
      <c r="C30" s="21" t="s">
        <v>18</v>
      </c>
      <c r="D30" s="275">
        <f>D29</f>
        <v>1000</v>
      </c>
      <c r="E30" s="276"/>
      <c r="F30" s="275">
        <f t="shared" ref="F30" si="0">F29</f>
        <v>1033.3333333333333</v>
      </c>
      <c r="G30" s="276"/>
      <c r="H30" s="275">
        <f t="shared" ref="H30" si="1">H29</f>
        <v>225</v>
      </c>
      <c r="I30" s="276"/>
      <c r="J30" s="170"/>
      <c r="K30" s="272" t="s">
        <v>322</v>
      </c>
      <c r="L30" s="272"/>
      <c r="M30" s="272"/>
    </row>
    <row r="31" spans="2:13" ht="13">
      <c r="C31" s="1"/>
      <c r="D31" s="3"/>
      <c r="E31" s="3"/>
      <c r="F31" s="3"/>
      <c r="G31" s="3"/>
      <c r="H31" s="3"/>
      <c r="I31" s="3"/>
      <c r="J31" s="3"/>
      <c r="K31" s="272"/>
      <c r="L31" s="272"/>
      <c r="M31" s="272"/>
    </row>
    <row r="32" spans="2:13" ht="12.5" customHeight="1">
      <c r="K32" s="272"/>
      <c r="L32" s="272"/>
      <c r="M32" s="272"/>
    </row>
    <row r="33" spans="11:13" ht="12.5" customHeight="1">
      <c r="K33" s="272"/>
      <c r="L33" s="272"/>
      <c r="M33" s="272"/>
    </row>
    <row r="34" spans="11:13" ht="12.5" customHeight="1">
      <c r="K34" s="272"/>
      <c r="L34" s="272"/>
      <c r="M34" s="272"/>
    </row>
    <row r="35" spans="11:13">
      <c r="K35" s="272"/>
      <c r="L35" s="272"/>
      <c r="M35" s="272"/>
    </row>
    <row r="36" spans="11:13">
      <c r="K36" s="272"/>
      <c r="L36" s="272"/>
      <c r="M36" s="272"/>
    </row>
  </sheetData>
  <mergeCells count="33">
    <mergeCell ref="O1:Q3"/>
    <mergeCell ref="D15:J15"/>
    <mergeCell ref="C1:J1"/>
    <mergeCell ref="C2:J2"/>
    <mergeCell ref="D4:J4"/>
    <mergeCell ref="D5:J5"/>
    <mergeCell ref="D6:J6"/>
    <mergeCell ref="D7:J7"/>
    <mergeCell ref="D8:J8"/>
    <mergeCell ref="C10:J10"/>
    <mergeCell ref="D11:J11"/>
    <mergeCell ref="C13:J13"/>
    <mergeCell ref="D14:J14"/>
    <mergeCell ref="C18:J18"/>
    <mergeCell ref="C19:J19"/>
    <mergeCell ref="C20:J20"/>
    <mergeCell ref="K21:M23"/>
    <mergeCell ref="D26:E26"/>
    <mergeCell ref="F26:G26"/>
    <mergeCell ref="H26:I26"/>
    <mergeCell ref="D27:E27"/>
    <mergeCell ref="F27:G27"/>
    <mergeCell ref="H27:I27"/>
    <mergeCell ref="D28:E28"/>
    <mergeCell ref="F28:G28"/>
    <mergeCell ref="H28:I28"/>
    <mergeCell ref="K30:M36"/>
    <mergeCell ref="D29:E29"/>
    <mergeCell ref="F29:G29"/>
    <mergeCell ref="H29:I29"/>
    <mergeCell ref="D30:E30"/>
    <mergeCell ref="F30:G30"/>
    <mergeCell ref="H30:I30"/>
  </mergeCells>
  <conditionalFormatting sqref="E22:E25 G22:G25 I22:I25">
    <cfRule type="cellIs" dxfId="71" priority="1" operator="equal">
      <formula>"N"</formula>
    </cfRule>
    <cfRule type="cellIs" dxfId="70" priority="2" operator="equal">
      <formula>"Y"</formula>
    </cfRule>
  </conditionalFormatting>
  <dataValidations count="1">
    <dataValidation type="list" allowBlank="1" showInputMessage="1" showErrorMessage="1" sqref="G22:G25 E22:E25 I22:I25" xr:uid="{A4961862-97B4-4D72-AB1A-E0E060B1A6E6}">
      <formula1>$B$20:$B$21</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6">
    <tabColor theme="1"/>
  </sheetPr>
  <dimension ref="B2:K50"/>
  <sheetViews>
    <sheetView zoomScale="88" zoomScaleNormal="88" workbookViewId="0">
      <selection activeCell="C51" sqref="C51"/>
    </sheetView>
  </sheetViews>
  <sheetFormatPr baseColWidth="10" defaultColWidth="11.54296875" defaultRowHeight="12.5"/>
  <cols>
    <col min="1" max="1" width="2.7265625" style="2" customWidth="1"/>
    <col min="2" max="2" width="9.7265625" style="2" customWidth="1"/>
    <col min="3" max="3" width="10.54296875" style="2" customWidth="1"/>
    <col min="4" max="4" width="7.1796875" style="2" customWidth="1"/>
    <col min="5" max="9" width="5.54296875" style="2" customWidth="1"/>
    <col min="10" max="10" width="5.81640625" style="2" customWidth="1"/>
    <col min="11" max="11" width="11.54296875" style="2"/>
    <col min="12" max="12" width="58.453125" style="2" customWidth="1"/>
    <col min="13" max="16384" width="11.54296875" style="2"/>
  </cols>
  <sheetData>
    <row r="2" spans="2:11" ht="19.899999999999999" customHeight="1">
      <c r="B2" s="316" t="s">
        <v>82</v>
      </c>
      <c r="C2" s="317"/>
      <c r="D2" s="317"/>
      <c r="E2" s="317"/>
      <c r="F2" s="317"/>
      <c r="G2" s="317"/>
      <c r="H2" s="317"/>
      <c r="I2" s="317"/>
      <c r="J2" s="317"/>
    </row>
    <row r="3" spans="2:11" ht="13">
      <c r="B3" s="6"/>
      <c r="C3" s="6"/>
      <c r="D3" s="6"/>
      <c r="E3" s="5"/>
      <c r="F3" s="5"/>
      <c r="G3" s="5"/>
      <c r="H3" s="5"/>
      <c r="I3" s="5"/>
      <c r="J3" s="5"/>
    </row>
    <row r="4" spans="2:11" ht="13">
      <c r="B4" s="6"/>
      <c r="C4" s="6"/>
      <c r="D4" s="6"/>
      <c r="E4" s="5"/>
      <c r="F4" s="5"/>
      <c r="G4" s="5"/>
      <c r="H4" s="5"/>
      <c r="I4" s="5"/>
      <c r="J4" s="5"/>
    </row>
    <row r="5" spans="2:11" ht="16.5" customHeight="1" thickBot="1">
      <c r="B5" s="318" t="s">
        <v>113</v>
      </c>
      <c r="C5" s="319"/>
      <c r="D5" s="319"/>
      <c r="E5" s="319"/>
      <c r="F5" s="319"/>
      <c r="G5" s="319"/>
      <c r="H5" s="319"/>
      <c r="I5" s="319"/>
      <c r="J5" s="319"/>
    </row>
    <row r="6" spans="2:11" ht="22" customHeight="1" thickBot="1">
      <c r="B6" s="22" t="s">
        <v>73</v>
      </c>
      <c r="C6" s="320" t="s">
        <v>119</v>
      </c>
      <c r="D6" s="321"/>
      <c r="E6" s="322" t="s">
        <v>331</v>
      </c>
      <c r="F6" s="304"/>
      <c r="G6" s="304" t="s">
        <v>330</v>
      </c>
      <c r="H6" s="304"/>
      <c r="I6" s="304" t="s">
        <v>256</v>
      </c>
      <c r="J6" s="304"/>
    </row>
    <row r="7" spans="2:11">
      <c r="B7" s="308" t="s">
        <v>0</v>
      </c>
      <c r="C7" s="310" t="s">
        <v>84</v>
      </c>
      <c r="D7" s="8" t="s">
        <v>74</v>
      </c>
      <c r="E7" s="312">
        <f>'2. &amp; 3. Weighting'!$E$26</f>
        <v>595.23</v>
      </c>
      <c r="F7" s="313"/>
      <c r="G7" s="312">
        <f>'2. &amp; 3. Weighting'!E27</f>
        <v>11.7</v>
      </c>
      <c r="H7" s="313"/>
      <c r="I7" s="312">
        <f>'2. &amp; 3. Weighting'!E28</f>
        <v>38.18</v>
      </c>
      <c r="J7" s="313"/>
    </row>
    <row r="8" spans="2:11" ht="13.9" customHeight="1" thickBot="1">
      <c r="B8" s="309"/>
      <c r="C8" s="311"/>
      <c r="D8" s="114" t="s">
        <v>75</v>
      </c>
      <c r="E8" s="305">
        <f>IF($C7="+",(E7-MIN($E7:$J7))/(MAX($E7:$J7)-MIN($E7:$J7)),(MAX($E7:$J7)-E7)/(MAX($E7:$J7)-MIN($E7:$J7)))</f>
        <v>0</v>
      </c>
      <c r="F8" s="306"/>
      <c r="G8" s="305">
        <f>IF($C7="+",(G7-MIN($E7:$J7))/(MAX($E7:$J7)-MIN($E7:$J7)),(MAX($E7:$J7)-G7)/(MAX($E7:$J7)-MIN($E7:$J7)))</f>
        <v>1</v>
      </c>
      <c r="H8" s="306"/>
      <c r="I8" s="305">
        <f>IF($C7="+",(I7-MIN($E7:$J7))/(MAX($E7:$J7)-MIN($E7:$J7)),(MAX($E7:$J7)-I7)/(MAX($E7:$J7)-MIN($E7:$J7)))</f>
        <v>0.95462101348688178</v>
      </c>
      <c r="J8" s="306"/>
      <c r="K8" s="48"/>
    </row>
    <row r="9" spans="2:11" ht="13.9" customHeight="1">
      <c r="B9" s="308" t="s">
        <v>89</v>
      </c>
      <c r="C9" s="310" t="s">
        <v>84</v>
      </c>
      <c r="D9" s="8" t="s">
        <v>74</v>
      </c>
      <c r="E9" s="312">
        <f>'2. &amp; 3. Weighting'!F26</f>
        <v>1</v>
      </c>
      <c r="F9" s="313"/>
      <c r="G9" s="312">
        <f>'2. &amp; 3. Weighting'!F27</f>
        <v>1</v>
      </c>
      <c r="H9" s="313"/>
      <c r="I9" s="312">
        <f>'2. &amp; 3. Weighting'!F28</f>
        <v>2</v>
      </c>
      <c r="J9" s="313"/>
      <c r="K9" s="48"/>
    </row>
    <row r="10" spans="2:11" ht="13.9" customHeight="1" thickBot="1">
      <c r="B10" s="309"/>
      <c r="C10" s="311"/>
      <c r="D10" s="114" t="s">
        <v>75</v>
      </c>
      <c r="E10" s="305">
        <f>IF($C9="+",(E9-MIN($E9:$J9))/(MAX($E9:$J9)-MIN($E9:$J9)),(MAX($E9:$J9)-E9)/(MAX($E9:$J9)-MIN($E9:$J9)))</f>
        <v>1</v>
      </c>
      <c r="F10" s="306"/>
      <c r="G10" s="305">
        <f>IF($C9="+",(G9-MIN($E9:$J9))/(MAX($E9:$J9)-MIN($E9:$J9)),(MAX($E9:$J9)-G9)/(MAX($E9:$J9)-MIN($E9:$J9)))</f>
        <v>1</v>
      </c>
      <c r="H10" s="306"/>
      <c r="I10" s="305">
        <f>IF($C9="+",(I9-MIN($E9:$J9))/(MAX($E9:$J9)-MIN($E9:$J9)),(MAX($E9:$J9)-I9)/(MAX($E9:$J9)-MIN($E9:$J9)))</f>
        <v>0</v>
      </c>
      <c r="J10" s="306"/>
      <c r="K10" s="48"/>
    </row>
    <row r="11" spans="2:11">
      <c r="B11" s="308" t="s">
        <v>90</v>
      </c>
      <c r="C11" s="310" t="s">
        <v>84</v>
      </c>
      <c r="D11" s="7" t="s">
        <v>74</v>
      </c>
      <c r="E11" s="312">
        <f>'2. &amp; 3. Weighting'!$G$26</f>
        <v>24.69</v>
      </c>
      <c r="F11" s="313"/>
      <c r="G11" s="312">
        <f>'2. &amp; 3. Weighting'!$G$27</f>
        <v>160</v>
      </c>
      <c r="H11" s="313"/>
      <c r="I11" s="312">
        <f>'2. &amp; 3. Weighting'!$G$28</f>
        <v>1040</v>
      </c>
      <c r="J11" s="313"/>
      <c r="K11" s="48"/>
    </row>
    <row r="12" spans="2:11" ht="13.5" thickBot="1">
      <c r="B12" s="309"/>
      <c r="C12" s="311"/>
      <c r="D12" s="7" t="s">
        <v>75</v>
      </c>
      <c r="E12" s="305">
        <f>IF($C11="+",(E11-MIN($E11:$J11))/(MAX($E11:$J11)-MIN($E11:$J11)),(MAX($E11:$J11)-E11)/(MAX($E11:$J11)-MIN($E11:$J11)))</f>
        <v>1</v>
      </c>
      <c r="F12" s="306"/>
      <c r="G12" s="305">
        <f>IF($C11="+",(G11-MIN($E11:$J11))/(MAX($E11:$J11)-MIN($E11:$J11)),(MAX($E11:$J11)-G11)/(MAX($E11:$J11)-MIN($E11:$J11)))</f>
        <v>0.86673035821571742</v>
      </c>
      <c r="H12" s="306"/>
      <c r="I12" s="305">
        <f>IF($C11="+",(I11-MIN($E11:$J11))/(MAX($E11:$J11)-MIN($E11:$J11)),(MAX($E11:$J11)-I11)/(MAX($E11:$J11)-MIN($E11:$J11)))</f>
        <v>0</v>
      </c>
      <c r="J12" s="306"/>
    </row>
    <row r="13" spans="2:11">
      <c r="B13" s="308" t="s">
        <v>81</v>
      </c>
      <c r="C13" s="310" t="s">
        <v>84</v>
      </c>
      <c r="D13" s="9" t="s">
        <v>74</v>
      </c>
      <c r="E13" s="312">
        <f>'2. &amp; 3. Weighting'!$H$26</f>
        <v>170</v>
      </c>
      <c r="F13" s="313"/>
      <c r="G13" s="312">
        <f>'2. &amp; 3. Weighting'!$H$27</f>
        <v>150</v>
      </c>
      <c r="H13" s="313"/>
      <c r="I13" s="312">
        <f>'2. &amp; 3. Weighting'!$H$28</f>
        <v>1000</v>
      </c>
      <c r="J13" s="313"/>
    </row>
    <row r="14" spans="2:11" ht="13.5" thickBot="1">
      <c r="B14" s="309"/>
      <c r="C14" s="311"/>
      <c r="D14" s="40" t="s">
        <v>75</v>
      </c>
      <c r="E14" s="305">
        <f>IF($C13="+",(E13-MIN($E13:$J13))/(MAX($E13:$J13)-MIN($E13:$J13)),(MAX($E13:$J13)-E13)/(MAX($E13:$J13)-MIN($E13:$J13)))</f>
        <v>0.97647058823529409</v>
      </c>
      <c r="F14" s="306"/>
      <c r="G14" s="305">
        <f>IF($C13="+",(G13-MIN($E13:$J13))/(MAX($E13:$J13)-MIN($E13:$J13)),(MAX($E13:$J13)-G13)/(MAX($E13:$J13)-MIN($E13:$J13)))</f>
        <v>1</v>
      </c>
      <c r="H14" s="306"/>
      <c r="I14" s="305">
        <f>IF($C13="+",(I13-MIN($E13:$J13))/(MAX($E13:$J13)-MIN($E13:$J13)),(MAX($E13:$J13)-I13)/(MAX($E13:$J13)-MIN($E13:$J13)))</f>
        <v>0</v>
      </c>
      <c r="J14" s="306"/>
    </row>
    <row r="15" spans="2:11">
      <c r="B15" s="308" t="s">
        <v>77</v>
      </c>
      <c r="C15" s="310" t="s">
        <v>84</v>
      </c>
      <c r="D15" s="9" t="s">
        <v>74</v>
      </c>
      <c r="E15" s="286">
        <f>'2. &amp; 3. Weighting'!$I$26</f>
        <v>1000</v>
      </c>
      <c r="F15" s="307"/>
      <c r="G15" s="286">
        <f>'2. &amp; 3. Weighting'!$I$27</f>
        <v>7000</v>
      </c>
      <c r="H15" s="307"/>
      <c r="I15" s="286">
        <f>'2. &amp; 3. Weighting'!$I$28</f>
        <v>4455</v>
      </c>
      <c r="J15" s="307"/>
    </row>
    <row r="16" spans="2:11" ht="13.5" thickBot="1">
      <c r="B16" s="309"/>
      <c r="C16" s="311"/>
      <c r="D16" s="40" t="s">
        <v>75</v>
      </c>
      <c r="E16" s="305">
        <f>IF($C15="+",(E15-MIN($E15:$J15))/(MAX($E15:$J15)-MIN($E15:$J15)),(MAX($E15:$J15)-E15)/(MAX($E15:$J15)-MIN($E15:$J15)))</f>
        <v>1</v>
      </c>
      <c r="F16" s="306"/>
      <c r="G16" s="305">
        <f>IF($C15="+",(G15-MIN($E15:$J15))/(MAX($E15:$J15)-MIN($E15:$J15)),(MAX($E15:$J15)-G15)/(MAX($E15:$J15)-MIN($E15:$J15)))</f>
        <v>0</v>
      </c>
      <c r="H16" s="306"/>
      <c r="I16" s="305">
        <f>IF($C15="+",(I15-MIN($E15:$J15))/(MAX($E15:$J15)-MIN($E15:$J15)),(MAX($E15:$J15)-I15)/(MAX($E15:$J15)-MIN($E15:$J15)))</f>
        <v>0.42416666666666669</v>
      </c>
      <c r="J16" s="306"/>
    </row>
    <row r="17" spans="2:10">
      <c r="B17" s="308" t="s">
        <v>78</v>
      </c>
      <c r="C17" s="310" t="s">
        <v>84</v>
      </c>
      <c r="D17" s="9" t="s">
        <v>74</v>
      </c>
      <c r="E17" s="312">
        <f>'2. &amp; 3. Weighting'!$J$26</f>
        <v>2300</v>
      </c>
      <c r="F17" s="313"/>
      <c r="G17" s="312">
        <f>'2. &amp; 3. Weighting'!$J$27</f>
        <v>600</v>
      </c>
      <c r="H17" s="313"/>
      <c r="I17" s="312">
        <f>'2. &amp; 3. Weighting'!$J$28</f>
        <v>3000</v>
      </c>
      <c r="J17" s="313"/>
    </row>
    <row r="18" spans="2:10" ht="13.5" thickBot="1">
      <c r="B18" s="309"/>
      <c r="C18" s="311"/>
      <c r="D18" s="40" t="s">
        <v>75</v>
      </c>
      <c r="E18" s="305">
        <f>IF($C17="+",(E17-MIN($E17:$J17))/(MAX($E17:$J17)-MIN($E17:$J17)),(MAX($E17:$J17)-E17)/(MAX($E17:$J17)-MIN($E17:$J17)))</f>
        <v>0.29166666666666669</v>
      </c>
      <c r="F18" s="306"/>
      <c r="G18" s="305">
        <f>IF($C17="+",(G17-MIN($E17:$J17))/(MAX($E17:$J17)-MIN($E17:$J17)),(MAX($E17:$J17)-G17)/(MAX($E17:$J17)-MIN($E17:$J17)))</f>
        <v>1</v>
      </c>
      <c r="H18" s="306"/>
      <c r="I18" s="305">
        <f>IF($C17="+",(I17-MIN($E17:$J17))/(MAX($E17:$J17)-MIN($E17:$J17)),(MAX($E17:$J17)-I17)/(MAX($E17:$J17)-MIN($E17:$J17)))</f>
        <v>0</v>
      </c>
      <c r="J18" s="306"/>
    </row>
    <row r="19" spans="2:10">
      <c r="B19" s="308" t="s">
        <v>80</v>
      </c>
      <c r="C19" s="310" t="s">
        <v>84</v>
      </c>
      <c r="D19" s="9" t="s">
        <v>74</v>
      </c>
      <c r="E19" s="312">
        <f>'2. &amp; 3. Weighting'!$K$26</f>
        <v>6</v>
      </c>
      <c r="F19" s="313"/>
      <c r="G19" s="312">
        <f>'2. &amp; 3. Weighting'!$K$27</f>
        <v>5</v>
      </c>
      <c r="H19" s="313"/>
      <c r="I19" s="312">
        <f>'2. &amp; 3. Weighting'!$K$28</f>
        <v>3</v>
      </c>
      <c r="J19" s="313"/>
    </row>
    <row r="20" spans="2:10" ht="13.5" thickBot="1">
      <c r="B20" s="309"/>
      <c r="C20" s="311"/>
      <c r="D20" s="40" t="s">
        <v>75</v>
      </c>
      <c r="E20" s="305">
        <f>IF($C19="+",(E19-MIN($E19:$J19))/(MAX($E19:$J19)-MIN($E19:$J19)),(MAX($E19:$J19)-E19)/(MAX($E19:$J19)-MIN($E19:$J19)))</f>
        <v>0</v>
      </c>
      <c r="F20" s="306"/>
      <c r="G20" s="305">
        <f>IF($C19="+",(G19-MIN($E19:$J19))/(MAX($E19:$J19)-MIN($E19:$J19)),(MAX($E19:$J19)-G19)/(MAX($E19:$J19)-MIN($E19:$J19)))</f>
        <v>0.33333333333333331</v>
      </c>
      <c r="H20" s="306"/>
      <c r="I20" s="305">
        <f>IF($C19="+",(I19-MIN($E19:$J19))/(MAX($E19:$J19)-MIN($E19:$J19)),(MAX($E19:$J19)-I19)/(MAX($E19:$J19)-MIN($E19:$J19)))</f>
        <v>1</v>
      </c>
      <c r="J20" s="306"/>
    </row>
    <row r="21" spans="2:10">
      <c r="B21" s="308" t="s">
        <v>79</v>
      </c>
      <c r="C21" s="310" t="s">
        <v>84</v>
      </c>
      <c r="D21" s="9" t="s">
        <v>74</v>
      </c>
      <c r="E21" s="286">
        <f>'2. &amp; 3. Weighting'!$L$26</f>
        <v>0.38</v>
      </c>
      <c r="F21" s="307"/>
      <c r="G21" s="286">
        <f>'2. &amp; 3. Weighting'!$L$27</f>
        <v>0.99</v>
      </c>
      <c r="H21" s="307"/>
      <c r="I21" s="286">
        <f>'2. &amp; 3. Weighting'!$L$28</f>
        <v>0.22</v>
      </c>
      <c r="J21" s="307"/>
    </row>
    <row r="22" spans="2:10" ht="13.5" thickBot="1">
      <c r="B22" s="309"/>
      <c r="C22" s="311"/>
      <c r="D22" s="40" t="s">
        <v>75</v>
      </c>
      <c r="E22" s="305">
        <f>IF($C21="+",(E21-MIN($E21:$J21))/(MAX($E21:$J21)-MIN($E21:$J21)),(MAX($E21:$J21)-E21)/(MAX($E21:$J21)-MIN($E21:$J21)))</f>
        <v>0.79220779220779214</v>
      </c>
      <c r="F22" s="306"/>
      <c r="G22" s="305">
        <f>IF($C21="+",(G21-MIN($E21:$J21))/(MAX($E21:$J21)-MIN($E21:$J21)),(MAX($E21:$J21)-G21)/(MAX($E21:$J21)-MIN($E21:$J21)))</f>
        <v>0</v>
      </c>
      <c r="H22" s="306"/>
      <c r="I22" s="305">
        <f>IF($C21="+",(I21-MIN($E21:$J21))/(MAX($E21:$J21)-MIN($E21:$J21)),(MAX($E21:$J21)-I21)/(MAX($E21:$J21)-MIN($E21:$J21)))</f>
        <v>1</v>
      </c>
      <c r="J22" s="306"/>
    </row>
    <row r="23" spans="2:10">
      <c r="B23" s="308" t="s">
        <v>261</v>
      </c>
      <c r="C23" s="310" t="s">
        <v>84</v>
      </c>
      <c r="D23" s="9" t="s">
        <v>74</v>
      </c>
      <c r="E23" s="286">
        <f>'2. &amp; 3. Weighting'!$M$26</f>
        <v>17.765999999999998</v>
      </c>
      <c r="F23" s="307"/>
      <c r="G23" s="286">
        <f>'2. &amp; 3. Weighting'!$M$27</f>
        <v>135</v>
      </c>
      <c r="H23" s="307"/>
      <c r="I23" s="286">
        <f>'2. &amp; 3. Weighting'!$M$28</f>
        <v>135</v>
      </c>
      <c r="J23" s="307"/>
    </row>
    <row r="24" spans="2:10" ht="13.5" thickBot="1">
      <c r="B24" s="309"/>
      <c r="C24" s="311"/>
      <c r="D24" s="40" t="s">
        <v>75</v>
      </c>
      <c r="E24" s="305">
        <f>IF($C23="+",(E23-MIN($E23:$J23))/(MAX($E23:$J23)-MIN($E23:$J23)),(MAX($E23:$J23)-E23)/(MAX($E23:$J23)-MIN($E23:$J23)))</f>
        <v>1</v>
      </c>
      <c r="F24" s="306"/>
      <c r="G24" s="305">
        <f>IF($C23="+",(G23-MIN($E23:$J23))/(MAX($E23:$J23)-MIN($E23:$J23)),(MAX($E23:$J23)-G23)/(MAX($E23:$J23)-MIN($E23:$J23)))</f>
        <v>0</v>
      </c>
      <c r="H24" s="306"/>
      <c r="I24" s="305">
        <f>IF($C23="+",(I23-MIN($E23:$J23))/(MAX($E23:$J23)-MIN($E23:$J23)),(MAX($E23:$J23)-I23)/(MAX($E23:$J23)-MIN($E23:$J23)))</f>
        <v>0</v>
      </c>
      <c r="J24" s="306"/>
    </row>
    <row r="25" spans="2:10">
      <c r="B25" s="308" t="s">
        <v>114</v>
      </c>
      <c r="C25" s="310" t="s">
        <v>83</v>
      </c>
      <c r="D25" s="8" t="s">
        <v>74</v>
      </c>
      <c r="E25" s="314">
        <f>'2. &amp; 3. Weighting'!$N$26</f>
        <v>2</v>
      </c>
      <c r="F25" s="307"/>
      <c r="G25" s="314">
        <f>'2. &amp; 3. Weighting'!$N$27</f>
        <v>3</v>
      </c>
      <c r="H25" s="307"/>
      <c r="I25" s="314">
        <f>'2. &amp; 3. Weighting'!$N$28</f>
        <v>2</v>
      </c>
      <c r="J25" s="307"/>
    </row>
    <row r="26" spans="2:10" ht="13.5" thickBot="1">
      <c r="B26" s="309"/>
      <c r="C26" s="311"/>
      <c r="D26" s="114" t="s">
        <v>75</v>
      </c>
      <c r="E26" s="305">
        <f>IF($C25="+",(E25-MIN($E25:$J25))/(MAX($E25:$J25)-MIN($E25:$J25)),(MAX($E25:$J25)-E25)/(MAX($E25:$J25)-MIN($E25:$J25)))</f>
        <v>0</v>
      </c>
      <c r="F26" s="306"/>
      <c r="G26" s="305">
        <f>IF($C25="+",(G25-MIN($E25:$J25))/(MAX($E25:$J25)-MIN($E25:$J25)),(MAX($E25:$J25)-G25)/(MAX($E25:$J25)-MIN($E25:$J25)))</f>
        <v>1</v>
      </c>
      <c r="H26" s="306"/>
      <c r="I26" s="305">
        <f>IF($C25="+",(I25-MIN($E25:$J25))/(MAX($E25:$J25)-MIN($E25:$J25)),(MAX($E25:$J25)-I25)/(MAX($E25:$J25)-MIN($E25:$J25)))</f>
        <v>0</v>
      </c>
      <c r="J26" s="306"/>
    </row>
    <row r="27" spans="2:10">
      <c r="B27" s="308" t="s">
        <v>115</v>
      </c>
      <c r="C27" s="310" t="s">
        <v>83</v>
      </c>
      <c r="D27" s="9" t="s">
        <v>74</v>
      </c>
      <c r="E27" s="315">
        <f>'2. &amp; 3. Weighting'!$O$26</f>
        <v>2</v>
      </c>
      <c r="F27" s="307"/>
      <c r="G27" s="315">
        <f>'2. &amp; 3. Weighting'!$O$27</f>
        <v>1</v>
      </c>
      <c r="H27" s="307"/>
      <c r="I27" s="315">
        <f>'2. &amp; 3. Weighting'!$O$28</f>
        <v>2</v>
      </c>
      <c r="J27" s="307"/>
    </row>
    <row r="28" spans="2:10" ht="13.5" thickBot="1">
      <c r="B28" s="309"/>
      <c r="C28" s="311"/>
      <c r="D28" s="40" t="s">
        <v>75</v>
      </c>
      <c r="E28" s="305">
        <f>IF($C27="+",(E27-MIN($E27:$J27))/(MAX($E27:$J27)-MIN($E27:$J27)),(MAX($E27:$J27)-E27)/(MAX($E27:$J27)-MIN($E27:$J27)))</f>
        <v>1</v>
      </c>
      <c r="F28" s="306"/>
      <c r="G28" s="305">
        <f>IF($C27="+",(G27-MIN($E27:$J27))/(MAX($E27:$J27)-MIN($E27:$J27)),(MAX($E27:$J27)-G27)/(MAX($E27:$J27)-MIN($E27:$J27)))</f>
        <v>0</v>
      </c>
      <c r="H28" s="306"/>
      <c r="I28" s="305">
        <f>IF($C27="+",(I27-MIN($E27:$J27))/(MAX($E27:$J27)-MIN($E27:$J27)),(MAX($E27:$J27)-I27)/(MAX($E27:$J27)-MIN($E27:$J27)))</f>
        <v>1</v>
      </c>
      <c r="J28" s="306"/>
    </row>
    <row r="29" spans="2:10">
      <c r="B29" s="308" t="s">
        <v>117</v>
      </c>
      <c r="C29" s="310" t="s">
        <v>84</v>
      </c>
      <c r="D29" s="9" t="s">
        <v>74</v>
      </c>
      <c r="E29" s="314">
        <f>'2. &amp; 3. Weighting'!$P$26</f>
        <v>1</v>
      </c>
      <c r="F29" s="307"/>
      <c r="G29" s="314">
        <f>'2. &amp; 3. Weighting'!$P$27</f>
        <v>1</v>
      </c>
      <c r="H29" s="307"/>
      <c r="I29" s="314">
        <f>'2. &amp; 3. Weighting'!$P$28</f>
        <v>3</v>
      </c>
      <c r="J29" s="307"/>
    </row>
    <row r="30" spans="2:10" ht="13.5" thickBot="1">
      <c r="B30" s="309"/>
      <c r="C30" s="311"/>
      <c r="D30" s="40" t="s">
        <v>75</v>
      </c>
      <c r="E30" s="305">
        <f>IF($C29="+",(E29-MIN($E29:$J29))/(MAX($E29:$J29)-MIN($E29:$J29)),(MAX($E29:$J29)-E29)/(MAX($E29:$J29)-MIN($E29:$J29)))</f>
        <v>1</v>
      </c>
      <c r="F30" s="306"/>
      <c r="G30" s="305">
        <f>IF($C29="+",(G29-MIN($E29:$J29))/(MAX($E29:$J29)-MIN($E29:$J29)),(MAX($E29:$J29)-G29)/(MAX($E29:$J29)-MIN($E29:$J29)))</f>
        <v>1</v>
      </c>
      <c r="H30" s="306"/>
      <c r="I30" s="305">
        <f>IF($C29="+",(I29-MIN($E29:$J29))/(MAX($E29:$J29)-MIN($E29:$J29)),(MAX($E29:$J29)-I29)/(MAX($E29:$J29)-MIN($E29:$J29)))</f>
        <v>0</v>
      </c>
      <c r="J30" s="306"/>
    </row>
    <row r="31" spans="2:10">
      <c r="B31" s="308" t="s">
        <v>162</v>
      </c>
      <c r="C31" s="310" t="s">
        <v>83</v>
      </c>
      <c r="D31" s="9" t="s">
        <v>74</v>
      </c>
      <c r="E31" s="314">
        <f>'2. &amp; 3. Weighting'!$Q$26</f>
        <v>200</v>
      </c>
      <c r="F31" s="307"/>
      <c r="G31" s="314">
        <f>'2. &amp; 3. Weighting'!$Q$27</f>
        <v>350</v>
      </c>
      <c r="H31" s="307"/>
      <c r="I31" s="314">
        <f>'2. &amp; 3. Weighting'!$Q$28</f>
        <v>750</v>
      </c>
      <c r="J31" s="307"/>
    </row>
    <row r="32" spans="2:10" ht="13.5" thickBot="1">
      <c r="B32" s="309"/>
      <c r="C32" s="311"/>
      <c r="D32" s="40" t="s">
        <v>75</v>
      </c>
      <c r="E32" s="305">
        <f>IF($C31="+",(E31-MIN($E31:$J31))/(MAX($E31:$J31)-MIN($E31:$J31)),(MAX($E31:$J31)-E31)/(MAX($E31:$J31)-MIN($E31:$J31)))</f>
        <v>0</v>
      </c>
      <c r="F32" s="306"/>
      <c r="G32" s="323">
        <f>IF($C31="+",(G31-MIN($E31:$J31))/(MAX($E31:$J31)-MIN($E31:$J31)),(MAX($E31:$J31)-G31)/(MAX($E31:$J31)-MIN($E31:$J31)))</f>
        <v>0.27272727272727271</v>
      </c>
      <c r="H32" s="324"/>
      <c r="I32" s="323">
        <f>IF($C31="+",(I31-MIN($E31:$J31))/(MAX($E31:$J31)-MIN($E31:$J31)),(MAX($E31:$J31)-I31)/(MAX($E31:$J31)-MIN($E31:$J31)))</f>
        <v>1</v>
      </c>
      <c r="J32" s="324"/>
    </row>
    <row r="33" spans="2:10">
      <c r="B33" s="308" t="s">
        <v>163</v>
      </c>
      <c r="C33" s="310" t="s">
        <v>83</v>
      </c>
      <c r="D33" s="9" t="s">
        <v>74</v>
      </c>
      <c r="E33" s="314">
        <f>'2. &amp; 3. Weighting'!$R$26</f>
        <v>35</v>
      </c>
      <c r="F33" s="307"/>
      <c r="G33" s="314">
        <f>'2. &amp; 3. Weighting'!$R$27</f>
        <v>20</v>
      </c>
      <c r="H33" s="307"/>
      <c r="I33" s="314">
        <f>'2. &amp; 3. Weighting'!$R$28</f>
        <v>5</v>
      </c>
      <c r="J33" s="307"/>
    </row>
    <row r="34" spans="2:10" ht="13.5" thickBot="1">
      <c r="B34" s="309"/>
      <c r="C34" s="311"/>
      <c r="D34" s="40" t="s">
        <v>75</v>
      </c>
      <c r="E34" s="305">
        <f>IF($C33="+",(E33-MIN($E33:$J33))/(MAX($E33:$J33)-MIN($E33:$J33)),(MAX($E33:$J33)-E33)/(MAX($E33:$J33)-MIN($E33:$J33)))</f>
        <v>1</v>
      </c>
      <c r="F34" s="306"/>
      <c r="G34" s="323">
        <f>IF($C33="+",(G33-MIN($E33:$J33))/(MAX($E33:$J33)-MIN($E33:$J33)),(MAX($E33:$J33)-G33)/(MAX($E33:$J33)-MIN($E33:$J33)))</f>
        <v>0.5</v>
      </c>
      <c r="H34" s="324"/>
      <c r="I34" s="323">
        <f>IF($C33="+",(I33-MIN($E33:$J33))/(MAX($E33:$J33)-MIN($E33:$J33)),(MAX($E33:$J33)-I33)/(MAX($E33:$J33)-MIN($E33:$J33)))</f>
        <v>0</v>
      </c>
      <c r="J34" s="324"/>
    </row>
    <row r="35" spans="2:10">
      <c r="B35" s="308" t="s">
        <v>76</v>
      </c>
      <c r="C35" s="310" t="s">
        <v>83</v>
      </c>
      <c r="D35" s="9" t="s">
        <v>74</v>
      </c>
      <c r="E35" s="312">
        <f>'2. &amp; 3. Weighting'!$S$26</f>
        <v>93.5</v>
      </c>
      <c r="F35" s="313"/>
      <c r="G35" s="312">
        <f>'2. &amp; 3. Weighting'!$S$27</f>
        <v>50</v>
      </c>
      <c r="H35" s="313"/>
      <c r="I35" s="312">
        <f>'2. &amp; 3. Weighting'!$S$28</f>
        <v>59.5</v>
      </c>
      <c r="J35" s="313"/>
    </row>
    <row r="36" spans="2:10" ht="13.5" thickBot="1">
      <c r="B36" s="309"/>
      <c r="C36" s="311"/>
      <c r="D36" s="40" t="s">
        <v>75</v>
      </c>
      <c r="E36" s="305">
        <f>IF($C35="+",(E35-MIN($E35:$J35))/(MAX($E35:$J35)-MIN($E35:$J35)),(MAX($E35:$J35)-E35)/(MAX($E35:$J35)-MIN($E35:$J35)))</f>
        <v>1</v>
      </c>
      <c r="F36" s="306"/>
      <c r="G36" s="305">
        <f>IF($C35="+",(G35-MIN($E35:$J35))/(MAX($E35:$J35)-MIN($E35:$J35)),(MAX($E35:$J35)-G35)/(MAX($E35:$J35)-MIN($E35:$J35)))</f>
        <v>0</v>
      </c>
      <c r="H36" s="306"/>
      <c r="I36" s="305">
        <f>IF($C35="+",(I35-MIN($E35:$J35))/(MAX($E35:$J35)-MIN($E35:$J35)),(MAX($E35:$J35)-I35)/(MAX($E35:$J35)-MIN($E35:$J35)))</f>
        <v>0.21839080459770116</v>
      </c>
      <c r="J36" s="306"/>
    </row>
    <row r="37" spans="2:10">
      <c r="B37" s="308" t="s">
        <v>91</v>
      </c>
      <c r="C37" s="310" t="s">
        <v>83</v>
      </c>
      <c r="D37" s="9" t="s">
        <v>74</v>
      </c>
      <c r="E37" s="314">
        <f>'2. &amp; 3. Weighting'!$T$26</f>
        <v>0</v>
      </c>
      <c r="F37" s="307"/>
      <c r="G37" s="314">
        <f>'2. &amp; 3. Weighting'!$T$27</f>
        <v>33</v>
      </c>
      <c r="H37" s="307"/>
      <c r="I37" s="314">
        <f>'2. &amp; 3. Weighting'!$T$28</f>
        <v>100</v>
      </c>
      <c r="J37" s="307"/>
    </row>
    <row r="38" spans="2:10" ht="13.5" thickBot="1">
      <c r="B38" s="309"/>
      <c r="C38" s="311"/>
      <c r="D38" s="40" t="s">
        <v>75</v>
      </c>
      <c r="E38" s="305">
        <f>IF($C37="+",(E37-MIN($E37:$J37))/(MAX($E37:$J37)-MIN($E37:$J37)),(MAX($E37:$J37)-E37)/(MAX($E37:$J37)-MIN($E37:$J37)))</f>
        <v>0</v>
      </c>
      <c r="F38" s="306"/>
      <c r="G38" s="305">
        <f>IF($C37="+",(G37-MIN($E37:$J37))/(MAX($E37:$J37)-MIN($E37:$J37)),(MAX($E37:$J37)-G37)/(MAX($E37:$J37)-MIN($E37:$J37)))</f>
        <v>0.33</v>
      </c>
      <c r="H38" s="306"/>
      <c r="I38" s="305">
        <f>IF($C37="+",(I37-MIN($E37:$J37))/(MAX($E37:$J37)-MIN($E37:$J37)),(MAX($E37:$J37)-I37)/(MAX($E37:$J37)-MIN($E37:$J37)))</f>
        <v>1</v>
      </c>
      <c r="J38" s="306"/>
    </row>
    <row r="39" spans="2:10">
      <c r="B39" s="308" t="s">
        <v>85</v>
      </c>
      <c r="C39" s="310" t="s">
        <v>84</v>
      </c>
      <c r="D39" s="9" t="s">
        <v>74</v>
      </c>
      <c r="E39" s="312">
        <f>'2. &amp; 3. Weighting'!$U$26</f>
        <v>5</v>
      </c>
      <c r="F39" s="313"/>
      <c r="G39" s="312">
        <f>'2. &amp; 3. Weighting'!$U$27</f>
        <v>5</v>
      </c>
      <c r="H39" s="313"/>
      <c r="I39" s="312">
        <f>'2. &amp; 3. Weighting'!$U$28</f>
        <v>2</v>
      </c>
      <c r="J39" s="313"/>
    </row>
    <row r="40" spans="2:10" ht="13.5" thickBot="1">
      <c r="B40" s="309"/>
      <c r="C40" s="311"/>
      <c r="D40" s="40" t="s">
        <v>75</v>
      </c>
      <c r="E40" s="305">
        <f>IF($C39="+",(E39-MIN($E39:$J39))/(MAX($E39:$J39)-MIN($E39:$J39)),(MAX($E39:$J39)-E39)/(MAX($E39:$J39)-MIN($E39:$J39)))</f>
        <v>0</v>
      </c>
      <c r="F40" s="306"/>
      <c r="G40" s="305">
        <f>IF($C39="+",(G39-MIN($E39:$J39))/(MAX($E39:$J39)-MIN($E39:$J39)),(MAX($E39:$J39)-G39)/(MAX($E39:$J39)-MIN($E39:$J39)))</f>
        <v>0</v>
      </c>
      <c r="H40" s="306"/>
      <c r="I40" s="305">
        <f>IF($C39="+",(I39-MIN($E39:$J39))/(MAX($E39:$J39)-MIN($E39:$J39)),(MAX($E39:$J39)-I39)/(MAX($E39:$J39)-MIN($E39:$J39)))</f>
        <v>1</v>
      </c>
      <c r="J40" s="306"/>
    </row>
    <row r="41" spans="2:10">
      <c r="B41" s="308" t="s">
        <v>92</v>
      </c>
      <c r="C41" s="310" t="s">
        <v>83</v>
      </c>
      <c r="D41" s="9" t="s">
        <v>74</v>
      </c>
      <c r="E41" s="312">
        <f>'2. &amp; 3. Weighting'!$V$26</f>
        <v>93.5</v>
      </c>
      <c r="F41" s="313"/>
      <c r="G41" s="312">
        <f>'2. &amp; 3. Weighting'!$V$27</f>
        <v>25</v>
      </c>
      <c r="H41" s="313"/>
      <c r="I41" s="312">
        <f>'2. &amp; 3. Weighting'!$V$28</f>
        <v>91</v>
      </c>
      <c r="J41" s="313"/>
    </row>
    <row r="42" spans="2:10" ht="13.5" thickBot="1">
      <c r="B42" s="309"/>
      <c r="C42" s="311"/>
      <c r="D42" s="40" t="s">
        <v>75</v>
      </c>
      <c r="E42" s="305">
        <f>IF($C41="+",(E41-MIN($E41:$J41))/(MAX($E41:$J41)-MIN($E41:$J41)),(MAX($E41:$J41)-E41)/(MAX($E41:$J41)-MIN($E41:$J41)))</f>
        <v>1</v>
      </c>
      <c r="F42" s="306"/>
      <c r="G42" s="305">
        <f>IF($C41="+",(G41-MIN($E41:$J41))/(MAX($E41:$J41)-MIN($E41:$J41)),(MAX($E41:$J41)-G41)/(MAX($E41:$J41)-MIN($E41:$J41)))</f>
        <v>0</v>
      </c>
      <c r="H42" s="306"/>
      <c r="I42" s="305">
        <f>IF($C41="+",(I41-MIN($E41:$J41))/(MAX($E41:$J41)-MIN($E41:$J41)),(MAX($E41:$J41)-I41)/(MAX($E41:$J41)-MIN($E41:$J41)))</f>
        <v>0.96350364963503654</v>
      </c>
      <c r="J42" s="306"/>
    </row>
    <row r="43" spans="2:10">
      <c r="B43" s="308" t="s">
        <v>143</v>
      </c>
      <c r="C43" s="310" t="s">
        <v>83</v>
      </c>
      <c r="D43" s="9" t="s">
        <v>74</v>
      </c>
      <c r="E43" s="312">
        <f>'2. &amp; 3. Weighting'!$W$26</f>
        <v>3</v>
      </c>
      <c r="F43" s="313"/>
      <c r="G43" s="312">
        <f>'2. &amp; 3. Weighting'!$W$27</f>
        <v>2</v>
      </c>
      <c r="H43" s="313"/>
      <c r="I43" s="312">
        <f>'2. &amp; 3. Weighting'!$W$28</f>
        <v>1</v>
      </c>
      <c r="J43" s="313"/>
    </row>
    <row r="44" spans="2:10" ht="13.5" thickBot="1">
      <c r="B44" s="309"/>
      <c r="C44" s="311"/>
      <c r="D44" s="40" t="s">
        <v>75</v>
      </c>
      <c r="E44" s="305">
        <f>IF($C43="+",(E43-MIN($E43:$J43))/(MAX($E43:$J43)-MIN($E43:$J43)),(MAX($E43:$J43)-E43)/(MAX($E43:$J43)-MIN($E43:$J43)))</f>
        <v>1</v>
      </c>
      <c r="F44" s="306"/>
      <c r="G44" s="305">
        <f>IF($C43="+",(G43-MIN($E43:$J43))/(MAX($E43:$J43)-MIN($E43:$J43)),(MAX($E43:$J43)-G43)/(MAX($E43:$J43)-MIN($E43:$J43)))</f>
        <v>0.5</v>
      </c>
      <c r="H44" s="306"/>
      <c r="I44" s="305">
        <f>IF($C43="+",(I43-MIN($E43:$J43))/(MAX($E43:$J43)-MIN($E43:$J43)),(MAX($E43:$J43)-I43)/(MAX($E43:$J43)-MIN($E43:$J43)))</f>
        <v>0</v>
      </c>
      <c r="J44" s="306"/>
    </row>
    <row r="45" spans="2:10">
      <c r="B45" s="308" t="s">
        <v>175</v>
      </c>
      <c r="C45" s="310" t="s">
        <v>83</v>
      </c>
      <c r="D45" s="9" t="s">
        <v>74</v>
      </c>
      <c r="E45" s="312">
        <f>'2. &amp; 3. Weighting'!$X$26</f>
        <v>3</v>
      </c>
      <c r="F45" s="313"/>
      <c r="G45" s="312">
        <f>'2. &amp; 3. Weighting'!$X$27</f>
        <v>3</v>
      </c>
      <c r="H45" s="313"/>
      <c r="I45" s="312">
        <f>'2. &amp; 3. Weighting'!$X$28</f>
        <v>1</v>
      </c>
      <c r="J45" s="313"/>
    </row>
    <row r="46" spans="2:10" ht="13.5" thickBot="1">
      <c r="B46" s="309"/>
      <c r="C46" s="311"/>
      <c r="D46" s="40" t="s">
        <v>75</v>
      </c>
      <c r="E46" s="305">
        <f>IF($C45="+",(E45-MIN($E45:$J45))/(MAX($E45:$J45)-MIN($E45:$J45)),(MAX($E45:$J45)-E45)/(MAX($E45:$J45)-MIN($E45:$J45)))</f>
        <v>1</v>
      </c>
      <c r="F46" s="306"/>
      <c r="G46" s="305">
        <f>IF($C45="+",(G45-MIN($E45:$J45))/(MAX($E45:$J45)-MIN($E45:$J45)),(MAX($E45:$J45)-G45)/(MAX($E45:$J45)-MIN($E45:$J45)))</f>
        <v>1</v>
      </c>
      <c r="H46" s="306"/>
      <c r="I46" s="305">
        <f>IF($C45="+",(I45-MIN($E45:$J45))/(MAX($E45:$J45)-MIN($E45:$J45)),(MAX($E45:$J45)-I45)/(MAX($E45:$J45)-MIN($E45:$J45)))</f>
        <v>0</v>
      </c>
      <c r="J46" s="306"/>
    </row>
    <row r="47" spans="2:10">
      <c r="B47" s="308" t="s">
        <v>176</v>
      </c>
      <c r="C47" s="310" t="s">
        <v>84</v>
      </c>
      <c r="D47" s="9" t="s">
        <v>74</v>
      </c>
      <c r="E47" s="312">
        <f>'2. &amp; 3. Weighting'!$Y$26</f>
        <v>3</v>
      </c>
      <c r="F47" s="313"/>
      <c r="G47" s="312">
        <f>'2. &amp; 3. Weighting'!$Y$27</f>
        <v>2</v>
      </c>
      <c r="H47" s="313"/>
      <c r="I47" s="312">
        <f>'2. &amp; 3. Weighting'!$Y$28</f>
        <v>1</v>
      </c>
      <c r="J47" s="313"/>
    </row>
    <row r="48" spans="2:10" ht="13.5" thickBot="1">
      <c r="B48" s="309"/>
      <c r="C48" s="311"/>
      <c r="D48" s="40" t="s">
        <v>75</v>
      </c>
      <c r="E48" s="305">
        <f>IF($C47="+",(E47-MIN($E47:$J47))/(MAX($E47:$J47)-MIN($E47:$J47)),(MAX($E47:$J47)-E47)/(MAX($E47:$J47)-MIN($E47:$J47)))</f>
        <v>0</v>
      </c>
      <c r="F48" s="306"/>
      <c r="G48" s="305">
        <f>IF($C47="+",(G47-MIN($E47:$J47))/(MAX($E47:$J47)-MIN($E47:$J47)),(MAX($E47:$J47)-G47)/(MAX($E47:$J47)-MIN($E47:$J47)))</f>
        <v>0.5</v>
      </c>
      <c r="H48" s="306"/>
      <c r="I48" s="305">
        <f>IF($C47="+",(I47-MIN($E47:$J47))/(MAX($E47:$J47)-MIN($E47:$J47)),(MAX($E47:$J47)-I47)/(MAX($E47:$J47)-MIN($E47:$J47)))</f>
        <v>1</v>
      </c>
      <c r="J48" s="306"/>
    </row>
    <row r="49" spans="2:10">
      <c r="B49" s="308" t="s">
        <v>177</v>
      </c>
      <c r="C49" s="310" t="s">
        <v>84</v>
      </c>
      <c r="D49" s="9" t="s">
        <v>74</v>
      </c>
      <c r="E49" s="312">
        <f>'2. &amp; 3. Weighting'!$Z$26</f>
        <v>2</v>
      </c>
      <c r="F49" s="313"/>
      <c r="G49" s="312">
        <f>'2. &amp; 3. Weighting'!$Z$27</f>
        <v>2</v>
      </c>
      <c r="H49" s="313"/>
      <c r="I49" s="312">
        <f>'2. &amp; 3. Weighting'!$Z$28</f>
        <v>5</v>
      </c>
      <c r="J49" s="313"/>
    </row>
    <row r="50" spans="2:10" ht="13.5" thickBot="1">
      <c r="B50" s="309"/>
      <c r="C50" s="311"/>
      <c r="D50" s="40" t="s">
        <v>75</v>
      </c>
      <c r="E50" s="305">
        <f>IF($C49="+",(E49-MIN($E49:$J49))/(MAX($E49:$J49)-MIN($E49:$J49)),(MAX($E49:$J49)-E49)/(MAX($E49:$J49)-MIN($E49:$J49)))</f>
        <v>1</v>
      </c>
      <c r="F50" s="306"/>
      <c r="G50" s="305">
        <f>IF($C49="+",(G49-MIN($E49:$J49))/(MAX($E49:$J49)-MIN($E49:$J49)),(MAX($E49:$J49)-G49)/(MAX($E49:$J49)-MIN($E49:$J49)))</f>
        <v>1</v>
      </c>
      <c r="H50" s="306"/>
      <c r="I50" s="305">
        <f>IF($C49="+",(I49-MIN($E49:$J49))/(MAX($E49:$J49)-MIN($E49:$J49)),(MAX($E49:$J49)-I49)/(MAX($E49:$J49)-MIN($E49:$J49)))</f>
        <v>0</v>
      </c>
      <c r="J50" s="306"/>
    </row>
  </sheetData>
  <mergeCells count="182">
    <mergeCell ref="B49:B50"/>
    <mergeCell ref="C49:C50"/>
    <mergeCell ref="E49:F49"/>
    <mergeCell ref="G49:H49"/>
    <mergeCell ref="I49:J49"/>
    <mergeCell ref="E50:F50"/>
    <mergeCell ref="G50:H50"/>
    <mergeCell ref="I50:J50"/>
    <mergeCell ref="B47:B48"/>
    <mergeCell ref="C47:C48"/>
    <mergeCell ref="E47:F47"/>
    <mergeCell ref="G47:H47"/>
    <mergeCell ref="I47:J47"/>
    <mergeCell ref="E48:F48"/>
    <mergeCell ref="G48:H48"/>
    <mergeCell ref="I48:J48"/>
    <mergeCell ref="B33:B34"/>
    <mergeCell ref="C33:C34"/>
    <mergeCell ref="E33:F33"/>
    <mergeCell ref="G33:H33"/>
    <mergeCell ref="I33:J33"/>
    <mergeCell ref="E34:F34"/>
    <mergeCell ref="G34:H34"/>
    <mergeCell ref="I34:J34"/>
    <mergeCell ref="B31:B32"/>
    <mergeCell ref="C31:C32"/>
    <mergeCell ref="E31:F31"/>
    <mergeCell ref="G31:H31"/>
    <mergeCell ref="I31:J31"/>
    <mergeCell ref="E32:F32"/>
    <mergeCell ref="G32:H32"/>
    <mergeCell ref="I32:J32"/>
    <mergeCell ref="E46:F46"/>
    <mergeCell ref="G46:H46"/>
    <mergeCell ref="I46:J46"/>
    <mergeCell ref="B45:B46"/>
    <mergeCell ref="C45:C46"/>
    <mergeCell ref="E45:F45"/>
    <mergeCell ref="G45:H45"/>
    <mergeCell ref="I45:J45"/>
    <mergeCell ref="B43:B44"/>
    <mergeCell ref="C43:C44"/>
    <mergeCell ref="E43:F43"/>
    <mergeCell ref="G43:H43"/>
    <mergeCell ref="I43:J43"/>
    <mergeCell ref="E44:F44"/>
    <mergeCell ref="G44:H44"/>
    <mergeCell ref="I44:J44"/>
    <mergeCell ref="B5:J5"/>
    <mergeCell ref="E12:F12"/>
    <mergeCell ref="G12:H12"/>
    <mergeCell ref="I12:J12"/>
    <mergeCell ref="B11:B12"/>
    <mergeCell ref="C11:C12"/>
    <mergeCell ref="E11:F11"/>
    <mergeCell ref="G11:H11"/>
    <mergeCell ref="I11:J11"/>
    <mergeCell ref="B9:B10"/>
    <mergeCell ref="C9:C10"/>
    <mergeCell ref="E10:F10"/>
    <mergeCell ref="G10:H10"/>
    <mergeCell ref="I10:J10"/>
    <mergeCell ref="E9:F9"/>
    <mergeCell ref="G9:H9"/>
    <mergeCell ref="I9:J9"/>
    <mergeCell ref="B7:B8"/>
    <mergeCell ref="C7:C8"/>
    <mergeCell ref="E7:F7"/>
    <mergeCell ref="G7:H7"/>
    <mergeCell ref="I7:J7"/>
    <mergeCell ref="C6:D6"/>
    <mergeCell ref="E6:F6"/>
    <mergeCell ref="B2:J2"/>
    <mergeCell ref="B15:B16"/>
    <mergeCell ref="C15:C16"/>
    <mergeCell ref="E14:F14"/>
    <mergeCell ref="G14:H14"/>
    <mergeCell ref="I14:J14"/>
    <mergeCell ref="E42:F42"/>
    <mergeCell ref="G42:H42"/>
    <mergeCell ref="I42:J42"/>
    <mergeCell ref="B41:B42"/>
    <mergeCell ref="C41:C42"/>
    <mergeCell ref="E41:F41"/>
    <mergeCell ref="G41:H41"/>
    <mergeCell ref="I41:J41"/>
    <mergeCell ref="B39:B40"/>
    <mergeCell ref="C39:C40"/>
    <mergeCell ref="E40:F40"/>
    <mergeCell ref="G40:H40"/>
    <mergeCell ref="I40:J40"/>
    <mergeCell ref="E39:F39"/>
    <mergeCell ref="G39:H39"/>
    <mergeCell ref="I39:J39"/>
    <mergeCell ref="E38:F38"/>
    <mergeCell ref="G38:H38"/>
    <mergeCell ref="I38:J38"/>
    <mergeCell ref="B37:B38"/>
    <mergeCell ref="C37:C38"/>
    <mergeCell ref="E37:F37"/>
    <mergeCell ref="G37:H37"/>
    <mergeCell ref="I37:J37"/>
    <mergeCell ref="B35:B36"/>
    <mergeCell ref="C35:C36"/>
    <mergeCell ref="E36:F36"/>
    <mergeCell ref="G36:H36"/>
    <mergeCell ref="I36:J36"/>
    <mergeCell ref="E35:F35"/>
    <mergeCell ref="G35:H35"/>
    <mergeCell ref="I35:J35"/>
    <mergeCell ref="E30:F30"/>
    <mergeCell ref="G30:H30"/>
    <mergeCell ref="I30:J30"/>
    <mergeCell ref="B29:B30"/>
    <mergeCell ref="C29:C30"/>
    <mergeCell ref="E29:F29"/>
    <mergeCell ref="G29:H29"/>
    <mergeCell ref="I29:J29"/>
    <mergeCell ref="B27:B28"/>
    <mergeCell ref="C27:C28"/>
    <mergeCell ref="E28:F28"/>
    <mergeCell ref="G28:H28"/>
    <mergeCell ref="I28:J28"/>
    <mergeCell ref="E27:F27"/>
    <mergeCell ref="G27:H27"/>
    <mergeCell ref="I27:J27"/>
    <mergeCell ref="E26:F26"/>
    <mergeCell ref="G26:H26"/>
    <mergeCell ref="I26:J26"/>
    <mergeCell ref="B25:B26"/>
    <mergeCell ref="C25:C26"/>
    <mergeCell ref="E25:F25"/>
    <mergeCell ref="G25:H25"/>
    <mergeCell ref="I25:J25"/>
    <mergeCell ref="B21:B22"/>
    <mergeCell ref="C21:C22"/>
    <mergeCell ref="E22:F22"/>
    <mergeCell ref="G22:H22"/>
    <mergeCell ref="I22:J22"/>
    <mergeCell ref="E21:F21"/>
    <mergeCell ref="G21:H21"/>
    <mergeCell ref="I21:J21"/>
    <mergeCell ref="B23:B24"/>
    <mergeCell ref="C23:C24"/>
    <mergeCell ref="E23:F23"/>
    <mergeCell ref="G23:H23"/>
    <mergeCell ref="I23:J23"/>
    <mergeCell ref="E24:F24"/>
    <mergeCell ref="G24:H24"/>
    <mergeCell ref="I24:J24"/>
    <mergeCell ref="B13:B14"/>
    <mergeCell ref="C13:C14"/>
    <mergeCell ref="E13:F13"/>
    <mergeCell ref="G13:H13"/>
    <mergeCell ref="I13:J13"/>
    <mergeCell ref="E20:F20"/>
    <mergeCell ref="G20:H20"/>
    <mergeCell ref="I20:J20"/>
    <mergeCell ref="B19:B20"/>
    <mergeCell ref="C19:C20"/>
    <mergeCell ref="E19:F19"/>
    <mergeCell ref="G19:H19"/>
    <mergeCell ref="I19:J19"/>
    <mergeCell ref="B17:B18"/>
    <mergeCell ref="C17:C18"/>
    <mergeCell ref="E18:F18"/>
    <mergeCell ref="G18:H18"/>
    <mergeCell ref="I18:J18"/>
    <mergeCell ref="E17:F17"/>
    <mergeCell ref="G17:H17"/>
    <mergeCell ref="I17:J17"/>
    <mergeCell ref="G6:H6"/>
    <mergeCell ref="I6:J6"/>
    <mergeCell ref="E8:F8"/>
    <mergeCell ref="G8:H8"/>
    <mergeCell ref="I8:J8"/>
    <mergeCell ref="E16:F16"/>
    <mergeCell ref="G16:H16"/>
    <mergeCell ref="I16:J16"/>
    <mergeCell ref="E15:F15"/>
    <mergeCell ref="G15:H15"/>
    <mergeCell ref="I15:J15"/>
  </mergeCells>
  <conditionalFormatting sqref="I8:J8">
    <cfRule type="colorScale" priority="2110">
      <colorScale>
        <cfvo type="min"/>
        <cfvo type="percentile" val="50"/>
        <cfvo type="max"/>
        <color rgb="FFF8696B"/>
        <color rgb="FFFFEB84"/>
        <color rgb="FF63BE7B"/>
      </colorScale>
    </cfRule>
  </conditionalFormatting>
  <conditionalFormatting sqref="I10:J10">
    <cfRule type="colorScale" priority="2102">
      <colorScale>
        <cfvo type="min"/>
        <cfvo type="percentile" val="50"/>
        <cfvo type="max"/>
        <color rgb="FFF8696B"/>
        <color rgb="FFFFEB84"/>
        <color rgb="FF63BE7B"/>
      </colorScale>
    </cfRule>
  </conditionalFormatting>
  <conditionalFormatting sqref="I12:J12">
    <cfRule type="colorScale" priority="2094">
      <colorScale>
        <cfvo type="min"/>
        <cfvo type="percentile" val="50"/>
        <cfvo type="max"/>
        <color rgb="FFF8696B"/>
        <color rgb="FFFFEB84"/>
        <color rgb="FF63BE7B"/>
      </colorScale>
    </cfRule>
  </conditionalFormatting>
  <conditionalFormatting sqref="E16:F16">
    <cfRule type="colorScale" priority="1869">
      <colorScale>
        <cfvo type="min"/>
        <cfvo type="percentile" val="50"/>
        <cfvo type="max"/>
        <color rgb="FFF8696B"/>
        <color rgb="FFFFEB84"/>
        <color rgb="FF63BE7B"/>
      </colorScale>
    </cfRule>
  </conditionalFormatting>
  <conditionalFormatting sqref="E16:F16">
    <cfRule type="colorScale" priority="1868">
      <colorScale>
        <cfvo type="min"/>
        <cfvo type="percentile" val="50"/>
        <cfvo type="max"/>
        <color rgb="FFF8696B"/>
        <color rgb="FFFFEB84"/>
        <color rgb="FF63BE7B"/>
      </colorScale>
    </cfRule>
  </conditionalFormatting>
  <conditionalFormatting sqref="E16:F16">
    <cfRule type="colorScale" priority="1867">
      <colorScale>
        <cfvo type="min"/>
        <cfvo type="percentile" val="50"/>
        <cfvo type="max"/>
        <color rgb="FFF8696B"/>
        <color rgb="FFFFEB84"/>
        <color rgb="FF63BE7B"/>
      </colorScale>
    </cfRule>
  </conditionalFormatting>
  <conditionalFormatting sqref="E16:F16">
    <cfRule type="colorScale" priority="1866">
      <colorScale>
        <cfvo type="min"/>
        <cfvo type="percentile" val="50"/>
        <cfvo type="max"/>
        <color rgb="FFF8696B"/>
        <color rgb="FFFFEB84"/>
        <color rgb="FF63BE7B"/>
      </colorScale>
    </cfRule>
  </conditionalFormatting>
  <conditionalFormatting sqref="E16:F16">
    <cfRule type="colorScale" priority="1865">
      <colorScale>
        <cfvo type="min"/>
        <cfvo type="percentile" val="50"/>
        <cfvo type="max"/>
        <color rgb="FFF8696B"/>
        <color rgb="FFFFEB84"/>
        <color rgb="FF63BE7B"/>
      </colorScale>
    </cfRule>
  </conditionalFormatting>
  <conditionalFormatting sqref="G16:H16">
    <cfRule type="colorScale" priority="1860">
      <colorScale>
        <cfvo type="min"/>
        <cfvo type="percentile" val="50"/>
        <cfvo type="max"/>
        <color rgb="FFF8696B"/>
        <color rgb="FFFFEB84"/>
        <color rgb="FF63BE7B"/>
      </colorScale>
    </cfRule>
  </conditionalFormatting>
  <conditionalFormatting sqref="G16:H16">
    <cfRule type="colorScale" priority="1859">
      <colorScale>
        <cfvo type="min"/>
        <cfvo type="percentile" val="50"/>
        <cfvo type="max"/>
        <color rgb="FFF8696B"/>
        <color rgb="FFFFEB84"/>
        <color rgb="FF63BE7B"/>
      </colorScale>
    </cfRule>
  </conditionalFormatting>
  <conditionalFormatting sqref="G16:H16">
    <cfRule type="colorScale" priority="1858">
      <colorScale>
        <cfvo type="min"/>
        <cfvo type="percentile" val="50"/>
        <cfvo type="max"/>
        <color rgb="FFF8696B"/>
        <color rgb="FFFFEB84"/>
        <color rgb="FF63BE7B"/>
      </colorScale>
    </cfRule>
  </conditionalFormatting>
  <conditionalFormatting sqref="G16:H16">
    <cfRule type="colorScale" priority="1857">
      <colorScale>
        <cfvo type="min"/>
        <cfvo type="percentile" val="50"/>
        <cfvo type="max"/>
        <color rgb="FFF8696B"/>
        <color rgb="FFFFEB84"/>
        <color rgb="FF63BE7B"/>
      </colorScale>
    </cfRule>
  </conditionalFormatting>
  <conditionalFormatting sqref="I16:J16">
    <cfRule type="colorScale" priority="1851">
      <colorScale>
        <cfvo type="min"/>
        <cfvo type="percentile" val="50"/>
        <cfvo type="max"/>
        <color rgb="FFF8696B"/>
        <color rgb="FFFFEB84"/>
        <color rgb="FF63BE7B"/>
      </colorScale>
    </cfRule>
  </conditionalFormatting>
  <conditionalFormatting sqref="I16:J16">
    <cfRule type="colorScale" priority="1850">
      <colorScale>
        <cfvo type="min"/>
        <cfvo type="percentile" val="50"/>
        <cfvo type="max"/>
        <color rgb="FFF8696B"/>
        <color rgb="FFFFEB84"/>
        <color rgb="FF63BE7B"/>
      </colorScale>
    </cfRule>
  </conditionalFormatting>
  <conditionalFormatting sqref="I16:J16">
    <cfRule type="colorScale" priority="1849">
      <colorScale>
        <cfvo type="min"/>
        <cfvo type="percentile" val="50"/>
        <cfvo type="max"/>
        <color rgb="FFF8696B"/>
        <color rgb="FFFFEB84"/>
        <color rgb="FF63BE7B"/>
      </colorScale>
    </cfRule>
  </conditionalFormatting>
  <conditionalFormatting sqref="I16:J16">
    <cfRule type="colorScale" priority="1848">
      <colorScale>
        <cfvo type="min"/>
        <cfvo type="percentile" val="50"/>
        <cfvo type="max"/>
        <color rgb="FFF8696B"/>
        <color rgb="FFFFEB84"/>
        <color rgb="FF63BE7B"/>
      </colorScale>
    </cfRule>
  </conditionalFormatting>
  <conditionalFormatting sqref="I16:J16">
    <cfRule type="colorScale" priority="1847">
      <colorScale>
        <cfvo type="min"/>
        <cfvo type="percentile" val="50"/>
        <cfvo type="max"/>
        <color rgb="FFF8696B"/>
        <color rgb="FFFFEB84"/>
        <color rgb="FF63BE7B"/>
      </colorScale>
    </cfRule>
  </conditionalFormatting>
  <conditionalFormatting sqref="E18:F18">
    <cfRule type="colorScale" priority="1787">
      <colorScale>
        <cfvo type="min"/>
        <cfvo type="percentile" val="50"/>
        <cfvo type="max"/>
        <color rgb="FFF8696B"/>
        <color rgb="FFFFEB84"/>
        <color rgb="FF63BE7B"/>
      </colorScale>
    </cfRule>
  </conditionalFormatting>
  <conditionalFormatting sqref="E18:F18">
    <cfRule type="colorScale" priority="1786">
      <colorScale>
        <cfvo type="min"/>
        <cfvo type="percentile" val="50"/>
        <cfvo type="max"/>
        <color rgb="FFF8696B"/>
        <color rgb="FFFFEB84"/>
        <color rgb="FF63BE7B"/>
      </colorScale>
    </cfRule>
  </conditionalFormatting>
  <conditionalFormatting sqref="E18:F18">
    <cfRule type="colorScale" priority="1785">
      <colorScale>
        <cfvo type="min"/>
        <cfvo type="percentile" val="50"/>
        <cfvo type="max"/>
        <color rgb="FFF8696B"/>
        <color rgb="FFFFEB84"/>
        <color rgb="FF63BE7B"/>
      </colorScale>
    </cfRule>
  </conditionalFormatting>
  <conditionalFormatting sqref="E18:F18">
    <cfRule type="colorScale" priority="1784">
      <colorScale>
        <cfvo type="min"/>
        <cfvo type="percentile" val="50"/>
        <cfvo type="max"/>
        <color rgb="FFF8696B"/>
        <color rgb="FFFFEB84"/>
        <color rgb="FF63BE7B"/>
      </colorScale>
    </cfRule>
  </conditionalFormatting>
  <conditionalFormatting sqref="E18:F18">
    <cfRule type="colorScale" priority="1783">
      <colorScale>
        <cfvo type="min"/>
        <cfvo type="percentile" val="50"/>
        <cfvo type="max"/>
        <color rgb="FFF8696B"/>
        <color rgb="FFFFEB84"/>
        <color rgb="FF63BE7B"/>
      </colorScale>
    </cfRule>
  </conditionalFormatting>
  <conditionalFormatting sqref="E18:F18">
    <cfRule type="colorScale" priority="1782">
      <colorScale>
        <cfvo type="min"/>
        <cfvo type="percentile" val="50"/>
        <cfvo type="max"/>
        <color rgb="FFF8696B"/>
        <color rgb="FFFFEB84"/>
        <color rgb="FF63BE7B"/>
      </colorScale>
    </cfRule>
  </conditionalFormatting>
  <conditionalFormatting sqref="G18:H18">
    <cfRule type="colorScale" priority="1776">
      <colorScale>
        <cfvo type="min"/>
        <cfvo type="percentile" val="50"/>
        <cfvo type="max"/>
        <color rgb="FFF8696B"/>
        <color rgb="FFFFEB84"/>
        <color rgb="FF63BE7B"/>
      </colorScale>
    </cfRule>
  </conditionalFormatting>
  <conditionalFormatting sqref="G18:H18">
    <cfRule type="colorScale" priority="1775">
      <colorScale>
        <cfvo type="min"/>
        <cfvo type="percentile" val="50"/>
        <cfvo type="max"/>
        <color rgb="FFF8696B"/>
        <color rgb="FFFFEB84"/>
        <color rgb="FF63BE7B"/>
      </colorScale>
    </cfRule>
  </conditionalFormatting>
  <conditionalFormatting sqref="G18:H18">
    <cfRule type="colorScale" priority="1774">
      <colorScale>
        <cfvo type="min"/>
        <cfvo type="percentile" val="50"/>
        <cfvo type="max"/>
        <color rgb="FFF8696B"/>
        <color rgb="FFFFEB84"/>
        <color rgb="FF63BE7B"/>
      </colorScale>
    </cfRule>
  </conditionalFormatting>
  <conditionalFormatting sqref="G18:H18">
    <cfRule type="colorScale" priority="1773">
      <colorScale>
        <cfvo type="min"/>
        <cfvo type="percentile" val="50"/>
        <cfvo type="max"/>
        <color rgb="FFF8696B"/>
        <color rgb="FFFFEB84"/>
        <color rgb="FF63BE7B"/>
      </colorScale>
    </cfRule>
  </conditionalFormatting>
  <conditionalFormatting sqref="G18:H18">
    <cfRule type="colorScale" priority="1772">
      <colorScale>
        <cfvo type="min"/>
        <cfvo type="percentile" val="50"/>
        <cfvo type="max"/>
        <color rgb="FFF8696B"/>
        <color rgb="FFFFEB84"/>
        <color rgb="FF63BE7B"/>
      </colorScale>
    </cfRule>
  </conditionalFormatting>
  <conditionalFormatting sqref="I18:J18">
    <cfRule type="colorScale" priority="1771">
      <colorScale>
        <cfvo type="min"/>
        <cfvo type="percentile" val="50"/>
        <cfvo type="max"/>
        <color rgb="FFF8696B"/>
        <color rgb="FFFFEB84"/>
        <color rgb="FF63BE7B"/>
      </colorScale>
    </cfRule>
  </conditionalFormatting>
  <conditionalFormatting sqref="I18:J18">
    <cfRule type="colorScale" priority="1770">
      <colorScale>
        <cfvo type="min"/>
        <cfvo type="percentile" val="50"/>
        <cfvo type="max"/>
        <color rgb="FFF8696B"/>
        <color rgb="FFFFEB84"/>
        <color rgb="FF63BE7B"/>
      </colorScale>
    </cfRule>
  </conditionalFormatting>
  <conditionalFormatting sqref="I18:J18">
    <cfRule type="colorScale" priority="1769">
      <colorScale>
        <cfvo type="min"/>
        <cfvo type="percentile" val="50"/>
        <cfvo type="max"/>
        <color rgb="FFF8696B"/>
        <color rgb="FFFFEB84"/>
        <color rgb="FF63BE7B"/>
      </colorScale>
    </cfRule>
  </conditionalFormatting>
  <conditionalFormatting sqref="I18:J18">
    <cfRule type="colorScale" priority="1768">
      <colorScale>
        <cfvo type="min"/>
        <cfvo type="percentile" val="50"/>
        <cfvo type="max"/>
        <color rgb="FFF8696B"/>
        <color rgb="FFFFEB84"/>
        <color rgb="FF63BE7B"/>
      </colorScale>
    </cfRule>
  </conditionalFormatting>
  <conditionalFormatting sqref="I18:J18">
    <cfRule type="colorScale" priority="1767">
      <colorScale>
        <cfvo type="min"/>
        <cfvo type="percentile" val="50"/>
        <cfvo type="max"/>
        <color rgb="FFF8696B"/>
        <color rgb="FFFFEB84"/>
        <color rgb="FF63BE7B"/>
      </colorScale>
    </cfRule>
  </conditionalFormatting>
  <conditionalFormatting sqref="I18:J18">
    <cfRule type="colorScale" priority="1766">
      <colorScale>
        <cfvo type="min"/>
        <cfvo type="percentile" val="50"/>
        <cfvo type="max"/>
        <color rgb="FFF8696B"/>
        <color rgb="FFFFEB84"/>
        <color rgb="FF63BE7B"/>
      </colorScale>
    </cfRule>
  </conditionalFormatting>
  <conditionalFormatting sqref="E20:F20">
    <cfRule type="colorScale" priority="1730">
      <colorScale>
        <cfvo type="min"/>
        <cfvo type="percentile" val="50"/>
        <cfvo type="max"/>
        <color rgb="FFF8696B"/>
        <color rgb="FFFFEB84"/>
        <color rgb="FF63BE7B"/>
      </colorScale>
    </cfRule>
  </conditionalFormatting>
  <conditionalFormatting sqref="E20:F20">
    <cfRule type="colorScale" priority="1729">
      <colorScale>
        <cfvo type="min"/>
        <cfvo type="percentile" val="50"/>
        <cfvo type="max"/>
        <color rgb="FFF8696B"/>
        <color rgb="FFFFEB84"/>
        <color rgb="FF63BE7B"/>
      </colorScale>
    </cfRule>
  </conditionalFormatting>
  <conditionalFormatting sqref="E20:F20">
    <cfRule type="colorScale" priority="1728">
      <colorScale>
        <cfvo type="min"/>
        <cfvo type="percentile" val="50"/>
        <cfvo type="max"/>
        <color rgb="FFF8696B"/>
        <color rgb="FFFFEB84"/>
        <color rgb="FF63BE7B"/>
      </colorScale>
    </cfRule>
  </conditionalFormatting>
  <conditionalFormatting sqref="E20:F20">
    <cfRule type="colorScale" priority="1727">
      <colorScale>
        <cfvo type="min"/>
        <cfvo type="percentile" val="50"/>
        <cfvo type="max"/>
        <color rgb="FFF8696B"/>
        <color rgb="FFFFEB84"/>
        <color rgb="FF63BE7B"/>
      </colorScale>
    </cfRule>
  </conditionalFormatting>
  <conditionalFormatting sqref="E20:F20">
    <cfRule type="colorScale" priority="1726">
      <colorScale>
        <cfvo type="min"/>
        <cfvo type="percentile" val="50"/>
        <cfvo type="max"/>
        <color rgb="FFF8696B"/>
        <color rgb="FFFFEB84"/>
        <color rgb="FF63BE7B"/>
      </colorScale>
    </cfRule>
  </conditionalFormatting>
  <conditionalFormatting sqref="E20:F20">
    <cfRule type="colorScale" priority="1725">
      <colorScale>
        <cfvo type="min"/>
        <cfvo type="percentile" val="50"/>
        <cfvo type="max"/>
        <color rgb="FFF8696B"/>
        <color rgb="FFFFEB84"/>
        <color rgb="FF63BE7B"/>
      </colorScale>
    </cfRule>
  </conditionalFormatting>
  <conditionalFormatting sqref="G20:H20">
    <cfRule type="colorScale" priority="1724">
      <colorScale>
        <cfvo type="min"/>
        <cfvo type="percentile" val="50"/>
        <cfvo type="max"/>
        <color rgb="FFF8696B"/>
        <color rgb="FFFFEB84"/>
        <color rgb="FF63BE7B"/>
      </colorScale>
    </cfRule>
  </conditionalFormatting>
  <conditionalFormatting sqref="G20:H20">
    <cfRule type="colorScale" priority="1723">
      <colorScale>
        <cfvo type="min"/>
        <cfvo type="percentile" val="50"/>
        <cfvo type="max"/>
        <color rgb="FFF8696B"/>
        <color rgb="FFFFEB84"/>
        <color rgb="FF63BE7B"/>
      </colorScale>
    </cfRule>
  </conditionalFormatting>
  <conditionalFormatting sqref="G20:H20">
    <cfRule type="colorScale" priority="1722">
      <colorScale>
        <cfvo type="min"/>
        <cfvo type="percentile" val="50"/>
        <cfvo type="max"/>
        <color rgb="FFF8696B"/>
        <color rgb="FFFFEB84"/>
        <color rgb="FF63BE7B"/>
      </colorScale>
    </cfRule>
  </conditionalFormatting>
  <conditionalFormatting sqref="G20:H20">
    <cfRule type="colorScale" priority="1721">
      <colorScale>
        <cfvo type="min"/>
        <cfvo type="percentile" val="50"/>
        <cfvo type="max"/>
        <color rgb="FFF8696B"/>
        <color rgb="FFFFEB84"/>
        <color rgb="FF63BE7B"/>
      </colorScale>
    </cfRule>
  </conditionalFormatting>
  <conditionalFormatting sqref="G20:H20">
    <cfRule type="colorScale" priority="1720">
      <colorScale>
        <cfvo type="min"/>
        <cfvo type="percentile" val="50"/>
        <cfvo type="max"/>
        <color rgb="FFF8696B"/>
        <color rgb="FFFFEB84"/>
        <color rgb="FF63BE7B"/>
      </colorScale>
    </cfRule>
  </conditionalFormatting>
  <conditionalFormatting sqref="I20:J20">
    <cfRule type="colorScale" priority="1719">
      <colorScale>
        <cfvo type="min"/>
        <cfvo type="percentile" val="50"/>
        <cfvo type="max"/>
        <color rgb="FFF8696B"/>
        <color rgb="FFFFEB84"/>
        <color rgb="FF63BE7B"/>
      </colorScale>
    </cfRule>
  </conditionalFormatting>
  <conditionalFormatting sqref="I20:J20">
    <cfRule type="colorScale" priority="1718">
      <colorScale>
        <cfvo type="min"/>
        <cfvo type="percentile" val="50"/>
        <cfvo type="max"/>
        <color rgb="FFF8696B"/>
        <color rgb="FFFFEB84"/>
        <color rgb="FF63BE7B"/>
      </colorScale>
    </cfRule>
  </conditionalFormatting>
  <conditionalFormatting sqref="I20:J20">
    <cfRule type="colorScale" priority="1717">
      <colorScale>
        <cfvo type="min"/>
        <cfvo type="percentile" val="50"/>
        <cfvo type="max"/>
        <color rgb="FFF8696B"/>
        <color rgb="FFFFEB84"/>
        <color rgb="FF63BE7B"/>
      </colorScale>
    </cfRule>
  </conditionalFormatting>
  <conditionalFormatting sqref="I20:J20">
    <cfRule type="colorScale" priority="1716">
      <colorScale>
        <cfvo type="min"/>
        <cfvo type="percentile" val="50"/>
        <cfvo type="max"/>
        <color rgb="FFF8696B"/>
        <color rgb="FFFFEB84"/>
        <color rgb="FF63BE7B"/>
      </colorScale>
    </cfRule>
  </conditionalFormatting>
  <conditionalFormatting sqref="I20:J20">
    <cfRule type="colorScale" priority="1715">
      <colorScale>
        <cfvo type="min"/>
        <cfvo type="percentile" val="50"/>
        <cfvo type="max"/>
        <color rgb="FFF8696B"/>
        <color rgb="FFFFEB84"/>
        <color rgb="FF63BE7B"/>
      </colorScale>
    </cfRule>
  </conditionalFormatting>
  <conditionalFormatting sqref="I20:J20">
    <cfRule type="colorScale" priority="1714">
      <colorScale>
        <cfvo type="min"/>
        <cfvo type="percentile" val="50"/>
        <cfvo type="max"/>
        <color rgb="FFF8696B"/>
        <color rgb="FFFFEB84"/>
        <color rgb="FF63BE7B"/>
      </colorScale>
    </cfRule>
  </conditionalFormatting>
  <conditionalFormatting sqref="E22:F22 E24:F24">
    <cfRule type="colorScale" priority="1664">
      <colorScale>
        <cfvo type="min"/>
        <cfvo type="percentile" val="50"/>
        <cfvo type="max"/>
        <color rgb="FFF8696B"/>
        <color rgb="FFFFEB84"/>
        <color rgb="FF63BE7B"/>
      </colorScale>
    </cfRule>
  </conditionalFormatting>
  <conditionalFormatting sqref="E22:F22 E24:F24">
    <cfRule type="colorScale" priority="1663">
      <colorScale>
        <cfvo type="min"/>
        <cfvo type="percentile" val="50"/>
        <cfvo type="max"/>
        <color rgb="FFF8696B"/>
        <color rgb="FFFFEB84"/>
        <color rgb="FF63BE7B"/>
      </colorScale>
    </cfRule>
  </conditionalFormatting>
  <conditionalFormatting sqref="E22:F22 E24:F24">
    <cfRule type="colorScale" priority="1662">
      <colorScale>
        <cfvo type="min"/>
        <cfvo type="percentile" val="50"/>
        <cfvo type="max"/>
        <color rgb="FFF8696B"/>
        <color rgb="FFFFEB84"/>
        <color rgb="FF63BE7B"/>
      </colorScale>
    </cfRule>
  </conditionalFormatting>
  <conditionalFormatting sqref="E22:F22 E24:F24">
    <cfRule type="colorScale" priority="1661">
      <colorScale>
        <cfvo type="min"/>
        <cfvo type="percentile" val="50"/>
        <cfvo type="max"/>
        <color rgb="FFF8696B"/>
        <color rgb="FFFFEB84"/>
        <color rgb="FF63BE7B"/>
      </colorScale>
    </cfRule>
  </conditionalFormatting>
  <conditionalFormatting sqref="E22:F22 E24:F24">
    <cfRule type="colorScale" priority="1660">
      <colorScale>
        <cfvo type="min"/>
        <cfvo type="percentile" val="50"/>
        <cfvo type="max"/>
        <color rgb="FFF8696B"/>
        <color rgb="FFFFEB84"/>
        <color rgb="FF63BE7B"/>
      </colorScale>
    </cfRule>
  </conditionalFormatting>
  <conditionalFormatting sqref="E22:F22 E24:F24">
    <cfRule type="colorScale" priority="1659">
      <colorScale>
        <cfvo type="min"/>
        <cfvo type="percentile" val="50"/>
        <cfvo type="max"/>
        <color rgb="FFF8696B"/>
        <color rgb="FFFFEB84"/>
        <color rgb="FF63BE7B"/>
      </colorScale>
    </cfRule>
  </conditionalFormatting>
  <conditionalFormatting sqref="E22:F22 E24:F24">
    <cfRule type="colorScale" priority="1658">
      <colorScale>
        <cfvo type="min"/>
        <cfvo type="percentile" val="50"/>
        <cfvo type="max"/>
        <color rgb="FFF8696B"/>
        <color rgb="FFFFEB84"/>
        <color rgb="FF63BE7B"/>
      </colorScale>
    </cfRule>
  </conditionalFormatting>
  <conditionalFormatting sqref="G22:H22 G24:H24">
    <cfRule type="colorScale" priority="1657">
      <colorScale>
        <cfvo type="min"/>
        <cfvo type="percentile" val="50"/>
        <cfvo type="max"/>
        <color rgb="FFF8696B"/>
        <color rgb="FFFFEB84"/>
        <color rgb="FF63BE7B"/>
      </colorScale>
    </cfRule>
  </conditionalFormatting>
  <conditionalFormatting sqref="G22:H22 G24:H24">
    <cfRule type="colorScale" priority="1656">
      <colorScale>
        <cfvo type="min"/>
        <cfvo type="percentile" val="50"/>
        <cfvo type="max"/>
        <color rgb="FFF8696B"/>
        <color rgb="FFFFEB84"/>
        <color rgb="FF63BE7B"/>
      </colorScale>
    </cfRule>
  </conditionalFormatting>
  <conditionalFormatting sqref="G22:H22 G24:H24">
    <cfRule type="colorScale" priority="1655">
      <colorScale>
        <cfvo type="min"/>
        <cfvo type="percentile" val="50"/>
        <cfvo type="max"/>
        <color rgb="FFF8696B"/>
        <color rgb="FFFFEB84"/>
        <color rgb="FF63BE7B"/>
      </colorScale>
    </cfRule>
  </conditionalFormatting>
  <conditionalFormatting sqref="G22:H22 G24:H24">
    <cfRule type="colorScale" priority="1654">
      <colorScale>
        <cfvo type="min"/>
        <cfvo type="percentile" val="50"/>
        <cfvo type="max"/>
        <color rgb="FFF8696B"/>
        <color rgb="FFFFEB84"/>
        <color rgb="FF63BE7B"/>
      </colorScale>
    </cfRule>
  </conditionalFormatting>
  <conditionalFormatting sqref="G22:H22 G24:H24">
    <cfRule type="colorScale" priority="1653">
      <colorScale>
        <cfvo type="min"/>
        <cfvo type="percentile" val="50"/>
        <cfvo type="max"/>
        <color rgb="FFF8696B"/>
        <color rgb="FFFFEB84"/>
        <color rgb="FF63BE7B"/>
      </colorScale>
    </cfRule>
  </conditionalFormatting>
  <conditionalFormatting sqref="G22:H22 G24:H24">
    <cfRule type="colorScale" priority="1652">
      <colorScale>
        <cfvo type="min"/>
        <cfvo type="percentile" val="50"/>
        <cfvo type="max"/>
        <color rgb="FFF8696B"/>
        <color rgb="FFFFEB84"/>
        <color rgb="FF63BE7B"/>
      </colorScale>
    </cfRule>
  </conditionalFormatting>
  <conditionalFormatting sqref="I22:J22 I24:J24">
    <cfRule type="colorScale" priority="1651">
      <colorScale>
        <cfvo type="min"/>
        <cfvo type="percentile" val="50"/>
        <cfvo type="max"/>
        <color rgb="FFF8696B"/>
        <color rgb="FFFFEB84"/>
        <color rgb="FF63BE7B"/>
      </colorScale>
    </cfRule>
  </conditionalFormatting>
  <conditionalFormatting sqref="I22:J22 I24:J24">
    <cfRule type="colorScale" priority="1650">
      <colorScale>
        <cfvo type="min"/>
        <cfvo type="percentile" val="50"/>
        <cfvo type="max"/>
        <color rgb="FFF8696B"/>
        <color rgb="FFFFEB84"/>
        <color rgb="FF63BE7B"/>
      </colorScale>
    </cfRule>
  </conditionalFormatting>
  <conditionalFormatting sqref="I22:J22 I24:J24">
    <cfRule type="colorScale" priority="1649">
      <colorScale>
        <cfvo type="min"/>
        <cfvo type="percentile" val="50"/>
        <cfvo type="max"/>
        <color rgb="FFF8696B"/>
        <color rgb="FFFFEB84"/>
        <color rgb="FF63BE7B"/>
      </colorScale>
    </cfRule>
  </conditionalFormatting>
  <conditionalFormatting sqref="I22:J22 I24:J24">
    <cfRule type="colorScale" priority="1648">
      <colorScale>
        <cfvo type="min"/>
        <cfvo type="percentile" val="50"/>
        <cfvo type="max"/>
        <color rgb="FFF8696B"/>
        <color rgb="FFFFEB84"/>
        <color rgb="FF63BE7B"/>
      </colorScale>
    </cfRule>
  </conditionalFormatting>
  <conditionalFormatting sqref="I22:J22 I24:J24">
    <cfRule type="colorScale" priority="1647">
      <colorScale>
        <cfvo type="min"/>
        <cfvo type="percentile" val="50"/>
        <cfvo type="max"/>
        <color rgb="FFF8696B"/>
        <color rgb="FFFFEB84"/>
        <color rgb="FF63BE7B"/>
      </colorScale>
    </cfRule>
  </conditionalFormatting>
  <conditionalFormatting sqref="I22:J22 I24:J24">
    <cfRule type="colorScale" priority="1646">
      <colorScale>
        <cfvo type="min"/>
        <cfvo type="percentile" val="50"/>
        <cfvo type="max"/>
        <color rgb="FFF8696B"/>
        <color rgb="FFFFEB84"/>
        <color rgb="FF63BE7B"/>
      </colorScale>
    </cfRule>
  </conditionalFormatting>
  <conditionalFormatting sqref="I22:J22 I24:J24">
    <cfRule type="colorScale" priority="1645">
      <colorScale>
        <cfvo type="min"/>
        <cfvo type="percentile" val="50"/>
        <cfvo type="max"/>
        <color rgb="FFF8696B"/>
        <color rgb="FFFFEB84"/>
        <color rgb="FF63BE7B"/>
      </colorScale>
    </cfRule>
  </conditionalFormatting>
  <conditionalFormatting sqref="E26:F26">
    <cfRule type="colorScale" priority="1596">
      <colorScale>
        <cfvo type="min"/>
        <cfvo type="percentile" val="50"/>
        <cfvo type="max"/>
        <color rgb="FFF8696B"/>
        <color rgb="FFFFEB84"/>
        <color rgb="FF63BE7B"/>
      </colorScale>
    </cfRule>
  </conditionalFormatting>
  <conditionalFormatting sqref="E26:F26">
    <cfRule type="colorScale" priority="1595">
      <colorScale>
        <cfvo type="min"/>
        <cfvo type="percentile" val="50"/>
        <cfvo type="max"/>
        <color rgb="FFF8696B"/>
        <color rgb="FFFFEB84"/>
        <color rgb="FF63BE7B"/>
      </colorScale>
    </cfRule>
  </conditionalFormatting>
  <conditionalFormatting sqref="E26:F26">
    <cfRule type="colorScale" priority="1594">
      <colorScale>
        <cfvo type="min"/>
        <cfvo type="percentile" val="50"/>
        <cfvo type="max"/>
        <color rgb="FFF8696B"/>
        <color rgb="FFFFEB84"/>
        <color rgb="FF63BE7B"/>
      </colorScale>
    </cfRule>
  </conditionalFormatting>
  <conditionalFormatting sqref="E26:F26">
    <cfRule type="colorScale" priority="1593">
      <colorScale>
        <cfvo type="min"/>
        <cfvo type="percentile" val="50"/>
        <cfvo type="max"/>
        <color rgb="FFF8696B"/>
        <color rgb="FFFFEB84"/>
        <color rgb="FF63BE7B"/>
      </colorScale>
    </cfRule>
  </conditionalFormatting>
  <conditionalFormatting sqref="E26:F26">
    <cfRule type="colorScale" priority="1592">
      <colorScale>
        <cfvo type="min"/>
        <cfvo type="percentile" val="50"/>
        <cfvo type="max"/>
        <color rgb="FFF8696B"/>
        <color rgb="FFFFEB84"/>
        <color rgb="FF63BE7B"/>
      </colorScale>
    </cfRule>
  </conditionalFormatting>
  <conditionalFormatting sqref="E26:F26">
    <cfRule type="colorScale" priority="1591">
      <colorScale>
        <cfvo type="min"/>
        <cfvo type="percentile" val="50"/>
        <cfvo type="max"/>
        <color rgb="FFF8696B"/>
        <color rgb="FFFFEB84"/>
        <color rgb="FF63BE7B"/>
      </colorScale>
    </cfRule>
  </conditionalFormatting>
  <conditionalFormatting sqref="E26:F26">
    <cfRule type="colorScale" priority="1590">
      <colorScale>
        <cfvo type="min"/>
        <cfvo type="percentile" val="50"/>
        <cfvo type="max"/>
        <color rgb="FFF8696B"/>
        <color rgb="FFFFEB84"/>
        <color rgb="FF63BE7B"/>
      </colorScale>
    </cfRule>
  </conditionalFormatting>
  <conditionalFormatting sqref="E26:F26">
    <cfRule type="colorScale" priority="1589">
      <colorScale>
        <cfvo type="min"/>
        <cfvo type="percentile" val="50"/>
        <cfvo type="max"/>
        <color rgb="FFF8696B"/>
        <color rgb="FFFFEB84"/>
        <color rgb="FF63BE7B"/>
      </colorScale>
    </cfRule>
  </conditionalFormatting>
  <conditionalFormatting sqref="G26:H26">
    <cfRule type="colorScale" priority="1588">
      <colorScale>
        <cfvo type="min"/>
        <cfvo type="percentile" val="50"/>
        <cfvo type="max"/>
        <color rgb="FFF8696B"/>
        <color rgb="FFFFEB84"/>
        <color rgb="FF63BE7B"/>
      </colorScale>
    </cfRule>
  </conditionalFormatting>
  <conditionalFormatting sqref="G26:H26">
    <cfRule type="colorScale" priority="1587">
      <colorScale>
        <cfvo type="min"/>
        <cfvo type="percentile" val="50"/>
        <cfvo type="max"/>
        <color rgb="FFF8696B"/>
        <color rgb="FFFFEB84"/>
        <color rgb="FF63BE7B"/>
      </colorScale>
    </cfRule>
  </conditionalFormatting>
  <conditionalFormatting sqref="G26:H26">
    <cfRule type="colorScale" priority="1586">
      <colorScale>
        <cfvo type="min"/>
        <cfvo type="percentile" val="50"/>
        <cfvo type="max"/>
        <color rgb="FFF8696B"/>
        <color rgb="FFFFEB84"/>
        <color rgb="FF63BE7B"/>
      </colorScale>
    </cfRule>
  </conditionalFormatting>
  <conditionalFormatting sqref="G26:H26">
    <cfRule type="colorScale" priority="1585">
      <colorScale>
        <cfvo type="min"/>
        <cfvo type="percentile" val="50"/>
        <cfvo type="max"/>
        <color rgb="FFF8696B"/>
        <color rgb="FFFFEB84"/>
        <color rgb="FF63BE7B"/>
      </colorScale>
    </cfRule>
  </conditionalFormatting>
  <conditionalFormatting sqref="G26:H26">
    <cfRule type="colorScale" priority="1584">
      <colorScale>
        <cfvo type="min"/>
        <cfvo type="percentile" val="50"/>
        <cfvo type="max"/>
        <color rgb="FFF8696B"/>
        <color rgb="FFFFEB84"/>
        <color rgb="FF63BE7B"/>
      </colorScale>
    </cfRule>
  </conditionalFormatting>
  <conditionalFormatting sqref="G26:H26">
    <cfRule type="colorScale" priority="1583">
      <colorScale>
        <cfvo type="min"/>
        <cfvo type="percentile" val="50"/>
        <cfvo type="max"/>
        <color rgb="FFF8696B"/>
        <color rgb="FFFFEB84"/>
        <color rgb="FF63BE7B"/>
      </colorScale>
    </cfRule>
  </conditionalFormatting>
  <conditionalFormatting sqref="G26:H26">
    <cfRule type="colorScale" priority="1582">
      <colorScale>
        <cfvo type="min"/>
        <cfvo type="percentile" val="50"/>
        <cfvo type="max"/>
        <color rgb="FFF8696B"/>
        <color rgb="FFFFEB84"/>
        <color rgb="FF63BE7B"/>
      </colorScale>
    </cfRule>
  </conditionalFormatting>
  <conditionalFormatting sqref="I26:J26">
    <cfRule type="colorScale" priority="1581">
      <colorScale>
        <cfvo type="min"/>
        <cfvo type="percentile" val="50"/>
        <cfvo type="max"/>
        <color rgb="FFF8696B"/>
        <color rgb="FFFFEB84"/>
        <color rgb="FF63BE7B"/>
      </colorScale>
    </cfRule>
  </conditionalFormatting>
  <conditionalFormatting sqref="I26:J26">
    <cfRule type="colorScale" priority="1580">
      <colorScale>
        <cfvo type="min"/>
        <cfvo type="percentile" val="50"/>
        <cfvo type="max"/>
        <color rgb="FFF8696B"/>
        <color rgb="FFFFEB84"/>
        <color rgb="FF63BE7B"/>
      </colorScale>
    </cfRule>
  </conditionalFormatting>
  <conditionalFormatting sqref="I26:J26">
    <cfRule type="colorScale" priority="1579">
      <colorScale>
        <cfvo type="min"/>
        <cfvo type="percentile" val="50"/>
        <cfvo type="max"/>
        <color rgb="FFF8696B"/>
        <color rgb="FFFFEB84"/>
        <color rgb="FF63BE7B"/>
      </colorScale>
    </cfRule>
  </conditionalFormatting>
  <conditionalFormatting sqref="I26:J26">
    <cfRule type="colorScale" priority="1578">
      <colorScale>
        <cfvo type="min"/>
        <cfvo type="percentile" val="50"/>
        <cfvo type="max"/>
        <color rgb="FFF8696B"/>
        <color rgb="FFFFEB84"/>
        <color rgb="FF63BE7B"/>
      </colorScale>
    </cfRule>
  </conditionalFormatting>
  <conditionalFormatting sqref="I26:J26">
    <cfRule type="colorScale" priority="1577">
      <colorScale>
        <cfvo type="min"/>
        <cfvo type="percentile" val="50"/>
        <cfvo type="max"/>
        <color rgb="FFF8696B"/>
        <color rgb="FFFFEB84"/>
        <color rgb="FF63BE7B"/>
      </colorScale>
    </cfRule>
  </conditionalFormatting>
  <conditionalFormatting sqref="I26:J26">
    <cfRule type="colorScale" priority="1576">
      <colorScale>
        <cfvo type="min"/>
        <cfvo type="percentile" val="50"/>
        <cfvo type="max"/>
        <color rgb="FFF8696B"/>
        <color rgb="FFFFEB84"/>
        <color rgb="FF63BE7B"/>
      </colorScale>
    </cfRule>
  </conditionalFormatting>
  <conditionalFormatting sqref="I26:J26">
    <cfRule type="colorScale" priority="1575">
      <colorScale>
        <cfvo type="min"/>
        <cfvo type="percentile" val="50"/>
        <cfvo type="max"/>
        <color rgb="FFF8696B"/>
        <color rgb="FFFFEB84"/>
        <color rgb="FF63BE7B"/>
      </colorScale>
    </cfRule>
  </conditionalFormatting>
  <conditionalFormatting sqref="I26:J26">
    <cfRule type="colorScale" priority="1574">
      <colorScale>
        <cfvo type="min"/>
        <cfvo type="percentile" val="50"/>
        <cfvo type="max"/>
        <color rgb="FFF8696B"/>
        <color rgb="FFFFEB84"/>
        <color rgb="FF63BE7B"/>
      </colorScale>
    </cfRule>
  </conditionalFormatting>
  <conditionalFormatting sqref="E28:F28">
    <cfRule type="colorScale" priority="1518">
      <colorScale>
        <cfvo type="min"/>
        <cfvo type="percentile" val="50"/>
        <cfvo type="max"/>
        <color rgb="FFF8696B"/>
        <color rgb="FFFFEB84"/>
        <color rgb="FF63BE7B"/>
      </colorScale>
    </cfRule>
  </conditionalFormatting>
  <conditionalFormatting sqref="E28:F28">
    <cfRule type="colorScale" priority="1517">
      <colorScale>
        <cfvo type="min"/>
        <cfvo type="percentile" val="50"/>
        <cfvo type="max"/>
        <color rgb="FFF8696B"/>
        <color rgb="FFFFEB84"/>
        <color rgb="FF63BE7B"/>
      </colorScale>
    </cfRule>
  </conditionalFormatting>
  <conditionalFormatting sqref="E28:F28">
    <cfRule type="colorScale" priority="1516">
      <colorScale>
        <cfvo type="min"/>
        <cfvo type="percentile" val="50"/>
        <cfvo type="max"/>
        <color rgb="FFF8696B"/>
        <color rgb="FFFFEB84"/>
        <color rgb="FF63BE7B"/>
      </colorScale>
    </cfRule>
  </conditionalFormatting>
  <conditionalFormatting sqref="E28:F28">
    <cfRule type="colorScale" priority="1515">
      <colorScale>
        <cfvo type="min"/>
        <cfvo type="percentile" val="50"/>
        <cfvo type="max"/>
        <color rgb="FFF8696B"/>
        <color rgb="FFFFEB84"/>
        <color rgb="FF63BE7B"/>
      </colorScale>
    </cfRule>
  </conditionalFormatting>
  <conditionalFormatting sqref="E28:F28">
    <cfRule type="colorScale" priority="1514">
      <colorScale>
        <cfvo type="min"/>
        <cfvo type="percentile" val="50"/>
        <cfvo type="max"/>
        <color rgb="FFF8696B"/>
        <color rgb="FFFFEB84"/>
        <color rgb="FF63BE7B"/>
      </colorScale>
    </cfRule>
  </conditionalFormatting>
  <conditionalFormatting sqref="E28:F28">
    <cfRule type="colorScale" priority="1513">
      <colorScale>
        <cfvo type="min"/>
        <cfvo type="percentile" val="50"/>
        <cfvo type="max"/>
        <color rgb="FFF8696B"/>
        <color rgb="FFFFEB84"/>
        <color rgb="FF63BE7B"/>
      </colorScale>
    </cfRule>
  </conditionalFormatting>
  <conditionalFormatting sqref="E28:F28">
    <cfRule type="colorScale" priority="1512">
      <colorScale>
        <cfvo type="min"/>
        <cfvo type="percentile" val="50"/>
        <cfvo type="max"/>
        <color rgb="FFF8696B"/>
        <color rgb="FFFFEB84"/>
        <color rgb="FF63BE7B"/>
      </colorScale>
    </cfRule>
  </conditionalFormatting>
  <conditionalFormatting sqref="E28:F28">
    <cfRule type="colorScale" priority="1511">
      <colorScale>
        <cfvo type="min"/>
        <cfvo type="percentile" val="50"/>
        <cfvo type="max"/>
        <color rgb="FFF8696B"/>
        <color rgb="FFFFEB84"/>
        <color rgb="FF63BE7B"/>
      </colorScale>
    </cfRule>
  </conditionalFormatting>
  <conditionalFormatting sqref="E28:F28">
    <cfRule type="colorScale" priority="1510">
      <colorScale>
        <cfvo type="min"/>
        <cfvo type="percentile" val="50"/>
        <cfvo type="max"/>
        <color rgb="FFF8696B"/>
        <color rgb="FFFFEB84"/>
        <color rgb="FF63BE7B"/>
      </colorScale>
    </cfRule>
  </conditionalFormatting>
  <conditionalFormatting sqref="G28:H28">
    <cfRule type="colorScale" priority="1509">
      <colorScale>
        <cfvo type="min"/>
        <cfvo type="percentile" val="50"/>
        <cfvo type="max"/>
        <color rgb="FFF8696B"/>
        <color rgb="FFFFEB84"/>
        <color rgb="FF63BE7B"/>
      </colorScale>
    </cfRule>
  </conditionalFormatting>
  <conditionalFormatting sqref="G28:H28">
    <cfRule type="colorScale" priority="1508">
      <colorScale>
        <cfvo type="min"/>
        <cfvo type="percentile" val="50"/>
        <cfvo type="max"/>
        <color rgb="FFF8696B"/>
        <color rgb="FFFFEB84"/>
        <color rgb="FF63BE7B"/>
      </colorScale>
    </cfRule>
  </conditionalFormatting>
  <conditionalFormatting sqref="G28:H28">
    <cfRule type="colorScale" priority="1507">
      <colorScale>
        <cfvo type="min"/>
        <cfvo type="percentile" val="50"/>
        <cfvo type="max"/>
        <color rgb="FFF8696B"/>
        <color rgb="FFFFEB84"/>
        <color rgb="FF63BE7B"/>
      </colorScale>
    </cfRule>
  </conditionalFormatting>
  <conditionalFormatting sqref="G28:H28">
    <cfRule type="colorScale" priority="1506">
      <colorScale>
        <cfvo type="min"/>
        <cfvo type="percentile" val="50"/>
        <cfvo type="max"/>
        <color rgb="FFF8696B"/>
        <color rgb="FFFFEB84"/>
        <color rgb="FF63BE7B"/>
      </colorScale>
    </cfRule>
  </conditionalFormatting>
  <conditionalFormatting sqref="G28:H28">
    <cfRule type="colorScale" priority="1505">
      <colorScale>
        <cfvo type="min"/>
        <cfvo type="percentile" val="50"/>
        <cfvo type="max"/>
        <color rgb="FFF8696B"/>
        <color rgb="FFFFEB84"/>
        <color rgb="FF63BE7B"/>
      </colorScale>
    </cfRule>
  </conditionalFormatting>
  <conditionalFormatting sqref="G28:H28">
    <cfRule type="colorScale" priority="1504">
      <colorScale>
        <cfvo type="min"/>
        <cfvo type="percentile" val="50"/>
        <cfvo type="max"/>
        <color rgb="FFF8696B"/>
        <color rgb="FFFFEB84"/>
        <color rgb="FF63BE7B"/>
      </colorScale>
    </cfRule>
  </conditionalFormatting>
  <conditionalFormatting sqref="G28:H28">
    <cfRule type="colorScale" priority="1503">
      <colorScale>
        <cfvo type="min"/>
        <cfvo type="percentile" val="50"/>
        <cfvo type="max"/>
        <color rgb="FFF8696B"/>
        <color rgb="FFFFEB84"/>
        <color rgb="FF63BE7B"/>
      </colorScale>
    </cfRule>
  </conditionalFormatting>
  <conditionalFormatting sqref="G28:H28">
    <cfRule type="colorScale" priority="1502">
      <colorScale>
        <cfvo type="min"/>
        <cfvo type="percentile" val="50"/>
        <cfvo type="max"/>
        <color rgb="FFF8696B"/>
        <color rgb="FFFFEB84"/>
        <color rgb="FF63BE7B"/>
      </colorScale>
    </cfRule>
  </conditionalFormatting>
  <conditionalFormatting sqref="I28:J28">
    <cfRule type="colorScale" priority="1501">
      <colorScale>
        <cfvo type="min"/>
        <cfvo type="percentile" val="50"/>
        <cfvo type="max"/>
        <color rgb="FFF8696B"/>
        <color rgb="FFFFEB84"/>
        <color rgb="FF63BE7B"/>
      </colorScale>
    </cfRule>
  </conditionalFormatting>
  <conditionalFormatting sqref="I28:J28">
    <cfRule type="colorScale" priority="1500">
      <colorScale>
        <cfvo type="min"/>
        <cfvo type="percentile" val="50"/>
        <cfvo type="max"/>
        <color rgb="FFF8696B"/>
        <color rgb="FFFFEB84"/>
        <color rgb="FF63BE7B"/>
      </colorScale>
    </cfRule>
  </conditionalFormatting>
  <conditionalFormatting sqref="I28:J28">
    <cfRule type="colorScale" priority="1499">
      <colorScale>
        <cfvo type="min"/>
        <cfvo type="percentile" val="50"/>
        <cfvo type="max"/>
        <color rgb="FFF8696B"/>
        <color rgb="FFFFEB84"/>
        <color rgb="FF63BE7B"/>
      </colorScale>
    </cfRule>
  </conditionalFormatting>
  <conditionalFormatting sqref="I28:J28">
    <cfRule type="colorScale" priority="1498">
      <colorScale>
        <cfvo type="min"/>
        <cfvo type="percentile" val="50"/>
        <cfvo type="max"/>
        <color rgb="FFF8696B"/>
        <color rgb="FFFFEB84"/>
        <color rgb="FF63BE7B"/>
      </colorScale>
    </cfRule>
  </conditionalFormatting>
  <conditionalFormatting sqref="I28:J28">
    <cfRule type="colorScale" priority="1497">
      <colorScale>
        <cfvo type="min"/>
        <cfvo type="percentile" val="50"/>
        <cfvo type="max"/>
        <color rgb="FFF8696B"/>
        <color rgb="FFFFEB84"/>
        <color rgb="FF63BE7B"/>
      </colorScale>
    </cfRule>
  </conditionalFormatting>
  <conditionalFormatting sqref="I28:J28">
    <cfRule type="colorScale" priority="1496">
      <colorScale>
        <cfvo type="min"/>
        <cfvo type="percentile" val="50"/>
        <cfvo type="max"/>
        <color rgb="FFF8696B"/>
        <color rgb="FFFFEB84"/>
        <color rgb="FF63BE7B"/>
      </colorScale>
    </cfRule>
  </conditionalFormatting>
  <conditionalFormatting sqref="I28:J28">
    <cfRule type="colorScale" priority="1495">
      <colorScale>
        <cfvo type="min"/>
        <cfvo type="percentile" val="50"/>
        <cfvo type="max"/>
        <color rgb="FFF8696B"/>
        <color rgb="FFFFEB84"/>
        <color rgb="FF63BE7B"/>
      </colorScale>
    </cfRule>
  </conditionalFormatting>
  <conditionalFormatting sqref="I28:J28">
    <cfRule type="colorScale" priority="1494">
      <colorScale>
        <cfvo type="min"/>
        <cfvo type="percentile" val="50"/>
        <cfvo type="max"/>
        <color rgb="FFF8696B"/>
        <color rgb="FFFFEB84"/>
        <color rgb="FF63BE7B"/>
      </colorScale>
    </cfRule>
  </conditionalFormatting>
  <conditionalFormatting sqref="I28:J28">
    <cfRule type="colorScale" priority="1493">
      <colorScale>
        <cfvo type="min"/>
        <cfvo type="percentile" val="50"/>
        <cfvo type="max"/>
        <color rgb="FFF8696B"/>
        <color rgb="FFFFEB84"/>
        <color rgb="FF63BE7B"/>
      </colorScale>
    </cfRule>
  </conditionalFormatting>
  <conditionalFormatting sqref="E30:F30 E34:F34">
    <cfRule type="colorScale" priority="1438">
      <colorScale>
        <cfvo type="min"/>
        <cfvo type="percentile" val="50"/>
        <cfvo type="max"/>
        <color rgb="FFF8696B"/>
        <color rgb="FFFFEB84"/>
        <color rgb="FF63BE7B"/>
      </colorScale>
    </cfRule>
  </conditionalFormatting>
  <conditionalFormatting sqref="E30:F30">
    <cfRule type="colorScale" priority="1437">
      <colorScale>
        <cfvo type="min"/>
        <cfvo type="percentile" val="50"/>
        <cfvo type="max"/>
        <color rgb="FFF8696B"/>
        <color rgb="FFFFEB84"/>
        <color rgb="FF63BE7B"/>
      </colorScale>
    </cfRule>
  </conditionalFormatting>
  <conditionalFormatting sqref="E30:F30">
    <cfRule type="colorScale" priority="1436">
      <colorScale>
        <cfvo type="min"/>
        <cfvo type="percentile" val="50"/>
        <cfvo type="max"/>
        <color rgb="FFF8696B"/>
        <color rgb="FFFFEB84"/>
        <color rgb="FF63BE7B"/>
      </colorScale>
    </cfRule>
  </conditionalFormatting>
  <conditionalFormatting sqref="E30:F30">
    <cfRule type="colorScale" priority="1435">
      <colorScale>
        <cfvo type="min"/>
        <cfvo type="percentile" val="50"/>
        <cfvo type="max"/>
        <color rgb="FFF8696B"/>
        <color rgb="FFFFEB84"/>
        <color rgb="FF63BE7B"/>
      </colorScale>
    </cfRule>
  </conditionalFormatting>
  <conditionalFormatting sqref="E30:F30">
    <cfRule type="colorScale" priority="1434">
      <colorScale>
        <cfvo type="min"/>
        <cfvo type="percentile" val="50"/>
        <cfvo type="max"/>
        <color rgb="FFF8696B"/>
        <color rgb="FFFFEB84"/>
        <color rgb="FF63BE7B"/>
      </colorScale>
    </cfRule>
  </conditionalFormatting>
  <conditionalFormatting sqref="E30:F30">
    <cfRule type="colorScale" priority="1433">
      <colorScale>
        <cfvo type="min"/>
        <cfvo type="percentile" val="50"/>
        <cfvo type="max"/>
        <color rgb="FFF8696B"/>
        <color rgb="FFFFEB84"/>
        <color rgb="FF63BE7B"/>
      </colorScale>
    </cfRule>
  </conditionalFormatting>
  <conditionalFormatting sqref="E30:F30">
    <cfRule type="colorScale" priority="1432">
      <colorScale>
        <cfvo type="min"/>
        <cfvo type="percentile" val="50"/>
        <cfvo type="max"/>
        <color rgb="FFF8696B"/>
        <color rgb="FFFFEB84"/>
        <color rgb="FF63BE7B"/>
      </colorScale>
    </cfRule>
  </conditionalFormatting>
  <conditionalFormatting sqref="E30:F30">
    <cfRule type="colorScale" priority="1431">
      <colorScale>
        <cfvo type="min"/>
        <cfvo type="percentile" val="50"/>
        <cfvo type="max"/>
        <color rgb="FFF8696B"/>
        <color rgb="FFFFEB84"/>
        <color rgb="FF63BE7B"/>
      </colorScale>
    </cfRule>
  </conditionalFormatting>
  <conditionalFormatting sqref="E30:F30">
    <cfRule type="colorScale" priority="1430">
      <colorScale>
        <cfvo type="min"/>
        <cfvo type="percentile" val="50"/>
        <cfvo type="max"/>
        <color rgb="FFF8696B"/>
        <color rgb="FFFFEB84"/>
        <color rgb="FF63BE7B"/>
      </colorScale>
    </cfRule>
  </conditionalFormatting>
  <conditionalFormatting sqref="E30:F30">
    <cfRule type="colorScale" priority="1429">
      <colorScale>
        <cfvo type="min"/>
        <cfvo type="percentile" val="50"/>
        <cfvo type="max"/>
        <color rgb="FFF8696B"/>
        <color rgb="FFFFEB84"/>
        <color rgb="FF63BE7B"/>
      </colorScale>
    </cfRule>
  </conditionalFormatting>
  <conditionalFormatting sqref="G30:H30 G34:H34">
    <cfRule type="colorScale" priority="1428">
      <colorScale>
        <cfvo type="min"/>
        <cfvo type="percentile" val="50"/>
        <cfvo type="max"/>
        <color rgb="FFF8696B"/>
        <color rgb="FFFFEB84"/>
        <color rgb="FF63BE7B"/>
      </colorScale>
    </cfRule>
  </conditionalFormatting>
  <conditionalFormatting sqref="G30:H30">
    <cfRule type="colorScale" priority="1427">
      <colorScale>
        <cfvo type="min"/>
        <cfvo type="percentile" val="50"/>
        <cfvo type="max"/>
        <color rgb="FFF8696B"/>
        <color rgb="FFFFEB84"/>
        <color rgb="FF63BE7B"/>
      </colorScale>
    </cfRule>
  </conditionalFormatting>
  <conditionalFormatting sqref="G30:H30">
    <cfRule type="colorScale" priority="1426">
      <colorScale>
        <cfvo type="min"/>
        <cfvo type="percentile" val="50"/>
        <cfvo type="max"/>
        <color rgb="FFF8696B"/>
        <color rgb="FFFFEB84"/>
        <color rgb="FF63BE7B"/>
      </colorScale>
    </cfRule>
  </conditionalFormatting>
  <conditionalFormatting sqref="G30:H30">
    <cfRule type="colorScale" priority="1425">
      <colorScale>
        <cfvo type="min"/>
        <cfvo type="percentile" val="50"/>
        <cfvo type="max"/>
        <color rgb="FFF8696B"/>
        <color rgb="FFFFEB84"/>
        <color rgb="FF63BE7B"/>
      </colorScale>
    </cfRule>
  </conditionalFormatting>
  <conditionalFormatting sqref="G30:H30">
    <cfRule type="colorScale" priority="1424">
      <colorScale>
        <cfvo type="min"/>
        <cfvo type="percentile" val="50"/>
        <cfvo type="max"/>
        <color rgb="FFF8696B"/>
        <color rgb="FFFFEB84"/>
        <color rgb="FF63BE7B"/>
      </colorScale>
    </cfRule>
  </conditionalFormatting>
  <conditionalFormatting sqref="G30:H30">
    <cfRule type="colorScale" priority="1423">
      <colorScale>
        <cfvo type="min"/>
        <cfvo type="percentile" val="50"/>
        <cfvo type="max"/>
        <color rgb="FFF8696B"/>
        <color rgb="FFFFEB84"/>
        <color rgb="FF63BE7B"/>
      </colorScale>
    </cfRule>
  </conditionalFormatting>
  <conditionalFormatting sqref="G30:H30">
    <cfRule type="colorScale" priority="1422">
      <colorScale>
        <cfvo type="min"/>
        <cfvo type="percentile" val="50"/>
        <cfvo type="max"/>
        <color rgb="FFF8696B"/>
        <color rgb="FFFFEB84"/>
        <color rgb="FF63BE7B"/>
      </colorScale>
    </cfRule>
  </conditionalFormatting>
  <conditionalFormatting sqref="G30:H30">
    <cfRule type="colorScale" priority="1421">
      <colorScale>
        <cfvo type="min"/>
        <cfvo type="percentile" val="50"/>
        <cfvo type="max"/>
        <color rgb="FFF8696B"/>
        <color rgb="FFFFEB84"/>
        <color rgb="FF63BE7B"/>
      </colorScale>
    </cfRule>
  </conditionalFormatting>
  <conditionalFormatting sqref="G30:H30">
    <cfRule type="colorScale" priority="1420">
      <colorScale>
        <cfvo type="min"/>
        <cfvo type="percentile" val="50"/>
        <cfvo type="max"/>
        <color rgb="FFF8696B"/>
        <color rgb="FFFFEB84"/>
        <color rgb="FF63BE7B"/>
      </colorScale>
    </cfRule>
  </conditionalFormatting>
  <conditionalFormatting sqref="I30:J30 I34:J34">
    <cfRule type="colorScale" priority="1328">
      <colorScale>
        <cfvo type="min"/>
        <cfvo type="percentile" val="50"/>
        <cfvo type="max"/>
        <color rgb="FFF8696B"/>
        <color rgb="FFFFEB84"/>
        <color rgb="FF63BE7B"/>
      </colorScale>
    </cfRule>
  </conditionalFormatting>
  <conditionalFormatting sqref="I30:J30">
    <cfRule type="colorScale" priority="1327">
      <colorScale>
        <cfvo type="min"/>
        <cfvo type="percentile" val="50"/>
        <cfvo type="max"/>
        <color rgb="FFF8696B"/>
        <color rgb="FFFFEB84"/>
        <color rgb="FF63BE7B"/>
      </colorScale>
    </cfRule>
  </conditionalFormatting>
  <conditionalFormatting sqref="I30:J30">
    <cfRule type="colorScale" priority="1326">
      <colorScale>
        <cfvo type="min"/>
        <cfvo type="percentile" val="50"/>
        <cfvo type="max"/>
        <color rgb="FFF8696B"/>
        <color rgb="FFFFEB84"/>
        <color rgb="FF63BE7B"/>
      </colorScale>
    </cfRule>
  </conditionalFormatting>
  <conditionalFormatting sqref="I30:J30">
    <cfRule type="colorScale" priority="1325">
      <colorScale>
        <cfvo type="min"/>
        <cfvo type="percentile" val="50"/>
        <cfvo type="max"/>
        <color rgb="FFF8696B"/>
        <color rgb="FFFFEB84"/>
        <color rgb="FF63BE7B"/>
      </colorScale>
    </cfRule>
  </conditionalFormatting>
  <conditionalFormatting sqref="I30:J30">
    <cfRule type="colorScale" priority="1324">
      <colorScale>
        <cfvo type="min"/>
        <cfvo type="percentile" val="50"/>
        <cfvo type="max"/>
        <color rgb="FFF8696B"/>
        <color rgb="FFFFEB84"/>
        <color rgb="FF63BE7B"/>
      </colorScale>
    </cfRule>
  </conditionalFormatting>
  <conditionalFormatting sqref="I30:J30">
    <cfRule type="colorScale" priority="1323">
      <colorScale>
        <cfvo type="min"/>
        <cfvo type="percentile" val="50"/>
        <cfvo type="max"/>
        <color rgb="FFF8696B"/>
        <color rgb="FFFFEB84"/>
        <color rgb="FF63BE7B"/>
      </colorScale>
    </cfRule>
  </conditionalFormatting>
  <conditionalFormatting sqref="I30:J30">
    <cfRule type="colorScale" priority="1322">
      <colorScale>
        <cfvo type="min"/>
        <cfvo type="percentile" val="50"/>
        <cfvo type="max"/>
        <color rgb="FFF8696B"/>
        <color rgb="FFFFEB84"/>
        <color rgb="FF63BE7B"/>
      </colorScale>
    </cfRule>
  </conditionalFormatting>
  <conditionalFormatting sqref="I30:J30">
    <cfRule type="colorScale" priority="1321">
      <colorScale>
        <cfvo type="min"/>
        <cfvo type="percentile" val="50"/>
        <cfvo type="max"/>
        <color rgb="FFF8696B"/>
        <color rgb="FFFFEB84"/>
        <color rgb="FF63BE7B"/>
      </colorScale>
    </cfRule>
  </conditionalFormatting>
  <conditionalFormatting sqref="I30:J30">
    <cfRule type="colorScale" priority="1320">
      <colorScale>
        <cfvo type="min"/>
        <cfvo type="percentile" val="50"/>
        <cfvo type="max"/>
        <color rgb="FFF8696B"/>
        <color rgb="FFFFEB84"/>
        <color rgb="FF63BE7B"/>
      </colorScale>
    </cfRule>
  </conditionalFormatting>
  <conditionalFormatting sqref="I30:J30">
    <cfRule type="colorScale" priority="1319">
      <colorScale>
        <cfvo type="min"/>
        <cfvo type="percentile" val="50"/>
        <cfvo type="max"/>
        <color rgb="FFF8696B"/>
        <color rgb="FFFFEB84"/>
        <color rgb="FF63BE7B"/>
      </colorScale>
    </cfRule>
  </conditionalFormatting>
  <conditionalFormatting sqref="E36:F36">
    <cfRule type="colorScale" priority="1308">
      <colorScale>
        <cfvo type="min"/>
        <cfvo type="percentile" val="50"/>
        <cfvo type="max"/>
        <color rgb="FFF8696B"/>
        <color rgb="FFFFEB84"/>
        <color rgb="FF63BE7B"/>
      </colorScale>
    </cfRule>
  </conditionalFormatting>
  <conditionalFormatting sqref="E36:F36">
    <cfRule type="colorScale" priority="1307">
      <colorScale>
        <cfvo type="min"/>
        <cfvo type="percentile" val="50"/>
        <cfvo type="max"/>
        <color rgb="FFF8696B"/>
        <color rgb="FFFFEB84"/>
        <color rgb="FF63BE7B"/>
      </colorScale>
    </cfRule>
  </conditionalFormatting>
  <conditionalFormatting sqref="E36:F36">
    <cfRule type="colorScale" priority="1306">
      <colorScale>
        <cfvo type="min"/>
        <cfvo type="percentile" val="50"/>
        <cfvo type="max"/>
        <color rgb="FFF8696B"/>
        <color rgb="FFFFEB84"/>
        <color rgb="FF63BE7B"/>
      </colorScale>
    </cfRule>
  </conditionalFormatting>
  <conditionalFormatting sqref="E36:F36">
    <cfRule type="colorScale" priority="1305">
      <colorScale>
        <cfvo type="min"/>
        <cfvo type="percentile" val="50"/>
        <cfvo type="max"/>
        <color rgb="FFF8696B"/>
        <color rgb="FFFFEB84"/>
        <color rgb="FF63BE7B"/>
      </colorScale>
    </cfRule>
  </conditionalFormatting>
  <conditionalFormatting sqref="E36:F36">
    <cfRule type="colorScale" priority="1304">
      <colorScale>
        <cfvo type="min"/>
        <cfvo type="percentile" val="50"/>
        <cfvo type="max"/>
        <color rgb="FFF8696B"/>
        <color rgb="FFFFEB84"/>
        <color rgb="FF63BE7B"/>
      </colorScale>
    </cfRule>
  </conditionalFormatting>
  <conditionalFormatting sqref="E36:F36">
    <cfRule type="colorScale" priority="1303">
      <colorScale>
        <cfvo type="min"/>
        <cfvo type="percentile" val="50"/>
        <cfvo type="max"/>
        <color rgb="FFF8696B"/>
        <color rgb="FFFFEB84"/>
        <color rgb="FF63BE7B"/>
      </colorScale>
    </cfRule>
  </conditionalFormatting>
  <conditionalFormatting sqref="E36:F36">
    <cfRule type="colorScale" priority="1302">
      <colorScale>
        <cfvo type="min"/>
        <cfvo type="percentile" val="50"/>
        <cfvo type="max"/>
        <color rgb="FFF8696B"/>
        <color rgb="FFFFEB84"/>
        <color rgb="FF63BE7B"/>
      </colorScale>
    </cfRule>
  </conditionalFormatting>
  <conditionalFormatting sqref="E36:F36">
    <cfRule type="colorScale" priority="1301">
      <colorScale>
        <cfvo type="min"/>
        <cfvo type="percentile" val="50"/>
        <cfvo type="max"/>
        <color rgb="FFF8696B"/>
        <color rgb="FFFFEB84"/>
        <color rgb="FF63BE7B"/>
      </colorScale>
    </cfRule>
  </conditionalFormatting>
  <conditionalFormatting sqref="E36:F36">
    <cfRule type="colorScale" priority="1300">
      <colorScale>
        <cfvo type="min"/>
        <cfvo type="percentile" val="50"/>
        <cfvo type="max"/>
        <color rgb="FFF8696B"/>
        <color rgb="FFFFEB84"/>
        <color rgb="FF63BE7B"/>
      </colorScale>
    </cfRule>
  </conditionalFormatting>
  <conditionalFormatting sqref="E36:F36">
    <cfRule type="colorScale" priority="1299">
      <colorScale>
        <cfvo type="min"/>
        <cfvo type="percentile" val="50"/>
        <cfvo type="max"/>
        <color rgb="FFF8696B"/>
        <color rgb="FFFFEB84"/>
        <color rgb="FF63BE7B"/>
      </colorScale>
    </cfRule>
  </conditionalFormatting>
  <conditionalFormatting sqref="E36:F36">
    <cfRule type="colorScale" priority="1298">
      <colorScale>
        <cfvo type="min"/>
        <cfvo type="percentile" val="50"/>
        <cfvo type="max"/>
        <color rgb="FFF8696B"/>
        <color rgb="FFFFEB84"/>
        <color rgb="FF63BE7B"/>
      </colorScale>
    </cfRule>
  </conditionalFormatting>
  <conditionalFormatting sqref="G36:H36">
    <cfRule type="colorScale" priority="1297">
      <colorScale>
        <cfvo type="min"/>
        <cfvo type="percentile" val="50"/>
        <cfvo type="max"/>
        <color rgb="FFF8696B"/>
        <color rgb="FFFFEB84"/>
        <color rgb="FF63BE7B"/>
      </colorScale>
    </cfRule>
  </conditionalFormatting>
  <conditionalFormatting sqref="G36:H36">
    <cfRule type="colorScale" priority="1296">
      <colorScale>
        <cfvo type="min"/>
        <cfvo type="percentile" val="50"/>
        <cfvo type="max"/>
        <color rgb="FFF8696B"/>
        <color rgb="FFFFEB84"/>
        <color rgb="FF63BE7B"/>
      </colorScale>
    </cfRule>
  </conditionalFormatting>
  <conditionalFormatting sqref="G36:H36">
    <cfRule type="colorScale" priority="1295">
      <colorScale>
        <cfvo type="min"/>
        <cfvo type="percentile" val="50"/>
        <cfvo type="max"/>
        <color rgb="FFF8696B"/>
        <color rgb="FFFFEB84"/>
        <color rgb="FF63BE7B"/>
      </colorScale>
    </cfRule>
  </conditionalFormatting>
  <conditionalFormatting sqref="G36:H36">
    <cfRule type="colorScale" priority="1294">
      <colorScale>
        <cfvo type="min"/>
        <cfvo type="percentile" val="50"/>
        <cfvo type="max"/>
        <color rgb="FFF8696B"/>
        <color rgb="FFFFEB84"/>
        <color rgb="FF63BE7B"/>
      </colorScale>
    </cfRule>
  </conditionalFormatting>
  <conditionalFormatting sqref="G36:H36">
    <cfRule type="colorScale" priority="1293">
      <colorScale>
        <cfvo type="min"/>
        <cfvo type="percentile" val="50"/>
        <cfvo type="max"/>
        <color rgb="FFF8696B"/>
        <color rgb="FFFFEB84"/>
        <color rgb="FF63BE7B"/>
      </colorScale>
    </cfRule>
  </conditionalFormatting>
  <conditionalFormatting sqref="G36:H36">
    <cfRule type="colorScale" priority="1292">
      <colorScale>
        <cfvo type="min"/>
        <cfvo type="percentile" val="50"/>
        <cfvo type="max"/>
        <color rgb="FFF8696B"/>
        <color rgb="FFFFEB84"/>
        <color rgb="FF63BE7B"/>
      </colorScale>
    </cfRule>
  </conditionalFormatting>
  <conditionalFormatting sqref="G36:H36">
    <cfRule type="colorScale" priority="1291">
      <colorScale>
        <cfvo type="min"/>
        <cfvo type="percentile" val="50"/>
        <cfvo type="max"/>
        <color rgb="FFF8696B"/>
        <color rgb="FFFFEB84"/>
        <color rgb="FF63BE7B"/>
      </colorScale>
    </cfRule>
  </conditionalFormatting>
  <conditionalFormatting sqref="G36:H36">
    <cfRule type="colorScale" priority="1290">
      <colorScale>
        <cfvo type="min"/>
        <cfvo type="percentile" val="50"/>
        <cfvo type="max"/>
        <color rgb="FFF8696B"/>
        <color rgb="FFFFEB84"/>
        <color rgb="FF63BE7B"/>
      </colorScale>
    </cfRule>
  </conditionalFormatting>
  <conditionalFormatting sqref="G36:H36">
    <cfRule type="colorScale" priority="1289">
      <colorScale>
        <cfvo type="min"/>
        <cfvo type="percentile" val="50"/>
        <cfvo type="max"/>
        <color rgb="FFF8696B"/>
        <color rgb="FFFFEB84"/>
        <color rgb="FF63BE7B"/>
      </colorScale>
    </cfRule>
  </conditionalFormatting>
  <conditionalFormatting sqref="G36:H36">
    <cfRule type="colorScale" priority="1288">
      <colorScale>
        <cfvo type="min"/>
        <cfvo type="percentile" val="50"/>
        <cfvo type="max"/>
        <color rgb="FFF8696B"/>
        <color rgb="FFFFEB84"/>
        <color rgb="FF63BE7B"/>
      </colorScale>
    </cfRule>
  </conditionalFormatting>
  <conditionalFormatting sqref="I36:J36">
    <cfRule type="colorScale" priority="1287">
      <colorScale>
        <cfvo type="min"/>
        <cfvo type="percentile" val="50"/>
        <cfvo type="max"/>
        <color rgb="FFF8696B"/>
        <color rgb="FFFFEB84"/>
        <color rgb="FF63BE7B"/>
      </colorScale>
    </cfRule>
  </conditionalFormatting>
  <conditionalFormatting sqref="I36:J36">
    <cfRule type="colorScale" priority="1286">
      <colorScale>
        <cfvo type="min"/>
        <cfvo type="percentile" val="50"/>
        <cfvo type="max"/>
        <color rgb="FFF8696B"/>
        <color rgb="FFFFEB84"/>
        <color rgb="FF63BE7B"/>
      </colorScale>
    </cfRule>
  </conditionalFormatting>
  <conditionalFormatting sqref="I36:J36">
    <cfRule type="colorScale" priority="1285">
      <colorScale>
        <cfvo type="min"/>
        <cfvo type="percentile" val="50"/>
        <cfvo type="max"/>
        <color rgb="FFF8696B"/>
        <color rgb="FFFFEB84"/>
        <color rgb="FF63BE7B"/>
      </colorScale>
    </cfRule>
  </conditionalFormatting>
  <conditionalFormatting sqref="I36:J36">
    <cfRule type="colorScale" priority="1284">
      <colorScale>
        <cfvo type="min"/>
        <cfvo type="percentile" val="50"/>
        <cfvo type="max"/>
        <color rgb="FFF8696B"/>
        <color rgb="FFFFEB84"/>
        <color rgb="FF63BE7B"/>
      </colorScale>
    </cfRule>
  </conditionalFormatting>
  <conditionalFormatting sqref="I36:J36">
    <cfRule type="colorScale" priority="1283">
      <colorScale>
        <cfvo type="min"/>
        <cfvo type="percentile" val="50"/>
        <cfvo type="max"/>
        <color rgb="FFF8696B"/>
        <color rgb="FFFFEB84"/>
        <color rgb="FF63BE7B"/>
      </colorScale>
    </cfRule>
  </conditionalFormatting>
  <conditionalFormatting sqref="I36:J36">
    <cfRule type="colorScale" priority="1282">
      <colorScale>
        <cfvo type="min"/>
        <cfvo type="percentile" val="50"/>
        <cfvo type="max"/>
        <color rgb="FFF8696B"/>
        <color rgb="FFFFEB84"/>
        <color rgb="FF63BE7B"/>
      </colorScale>
    </cfRule>
  </conditionalFormatting>
  <conditionalFormatting sqref="I36:J36">
    <cfRule type="colorScale" priority="1281">
      <colorScale>
        <cfvo type="min"/>
        <cfvo type="percentile" val="50"/>
        <cfvo type="max"/>
        <color rgb="FFF8696B"/>
        <color rgb="FFFFEB84"/>
        <color rgb="FF63BE7B"/>
      </colorScale>
    </cfRule>
  </conditionalFormatting>
  <conditionalFormatting sqref="I36:J36">
    <cfRule type="colorScale" priority="1280">
      <colorScale>
        <cfvo type="min"/>
        <cfvo type="percentile" val="50"/>
        <cfvo type="max"/>
        <color rgb="FFF8696B"/>
        <color rgb="FFFFEB84"/>
        <color rgb="FF63BE7B"/>
      </colorScale>
    </cfRule>
  </conditionalFormatting>
  <conditionalFormatting sqref="I36:J36">
    <cfRule type="colorScale" priority="1279">
      <colorScale>
        <cfvo type="min"/>
        <cfvo type="percentile" val="50"/>
        <cfvo type="max"/>
        <color rgb="FFF8696B"/>
        <color rgb="FFFFEB84"/>
        <color rgb="FF63BE7B"/>
      </colorScale>
    </cfRule>
  </conditionalFormatting>
  <conditionalFormatting sqref="I36:J36">
    <cfRule type="colorScale" priority="1278">
      <colorScale>
        <cfvo type="min"/>
        <cfvo type="percentile" val="50"/>
        <cfvo type="max"/>
        <color rgb="FFF8696B"/>
        <color rgb="FFFFEB84"/>
        <color rgb="FF63BE7B"/>
      </colorScale>
    </cfRule>
  </conditionalFormatting>
  <conditionalFormatting sqref="E38:F38">
    <cfRule type="colorScale" priority="1212">
      <colorScale>
        <cfvo type="min"/>
        <cfvo type="percentile" val="50"/>
        <cfvo type="max"/>
        <color rgb="FFF8696B"/>
        <color rgb="FFFFEB84"/>
        <color rgb="FF63BE7B"/>
      </colorScale>
    </cfRule>
  </conditionalFormatting>
  <conditionalFormatting sqref="E38:F38">
    <cfRule type="colorScale" priority="1211">
      <colorScale>
        <cfvo type="min"/>
        <cfvo type="percentile" val="50"/>
        <cfvo type="max"/>
        <color rgb="FFF8696B"/>
        <color rgb="FFFFEB84"/>
        <color rgb="FF63BE7B"/>
      </colorScale>
    </cfRule>
  </conditionalFormatting>
  <conditionalFormatting sqref="E38:F38">
    <cfRule type="colorScale" priority="1210">
      <colorScale>
        <cfvo type="min"/>
        <cfvo type="percentile" val="50"/>
        <cfvo type="max"/>
        <color rgb="FFF8696B"/>
        <color rgb="FFFFEB84"/>
        <color rgb="FF63BE7B"/>
      </colorScale>
    </cfRule>
  </conditionalFormatting>
  <conditionalFormatting sqref="E38:F38">
    <cfRule type="colorScale" priority="1209">
      <colorScale>
        <cfvo type="min"/>
        <cfvo type="percentile" val="50"/>
        <cfvo type="max"/>
        <color rgb="FFF8696B"/>
        <color rgb="FFFFEB84"/>
        <color rgb="FF63BE7B"/>
      </colorScale>
    </cfRule>
  </conditionalFormatting>
  <conditionalFormatting sqref="E38:F38">
    <cfRule type="colorScale" priority="1208">
      <colorScale>
        <cfvo type="min"/>
        <cfvo type="percentile" val="50"/>
        <cfvo type="max"/>
        <color rgb="FFF8696B"/>
        <color rgb="FFFFEB84"/>
        <color rgb="FF63BE7B"/>
      </colorScale>
    </cfRule>
  </conditionalFormatting>
  <conditionalFormatting sqref="E38:F38">
    <cfRule type="colorScale" priority="1207">
      <colorScale>
        <cfvo type="min"/>
        <cfvo type="percentile" val="50"/>
        <cfvo type="max"/>
        <color rgb="FFF8696B"/>
        <color rgb="FFFFEB84"/>
        <color rgb="FF63BE7B"/>
      </colorScale>
    </cfRule>
  </conditionalFormatting>
  <conditionalFormatting sqref="E38:F38">
    <cfRule type="colorScale" priority="1206">
      <colorScale>
        <cfvo type="min"/>
        <cfvo type="percentile" val="50"/>
        <cfvo type="max"/>
        <color rgb="FFF8696B"/>
        <color rgb="FFFFEB84"/>
        <color rgb="FF63BE7B"/>
      </colorScale>
    </cfRule>
  </conditionalFormatting>
  <conditionalFormatting sqref="E38:F38">
    <cfRule type="colorScale" priority="1205">
      <colorScale>
        <cfvo type="min"/>
        <cfvo type="percentile" val="50"/>
        <cfvo type="max"/>
        <color rgb="FFF8696B"/>
        <color rgb="FFFFEB84"/>
        <color rgb="FF63BE7B"/>
      </colorScale>
    </cfRule>
  </conditionalFormatting>
  <conditionalFormatting sqref="E38:F38">
    <cfRule type="colorScale" priority="1204">
      <colorScale>
        <cfvo type="min"/>
        <cfvo type="percentile" val="50"/>
        <cfvo type="max"/>
        <color rgb="FFF8696B"/>
        <color rgb="FFFFEB84"/>
        <color rgb="FF63BE7B"/>
      </colorScale>
    </cfRule>
  </conditionalFormatting>
  <conditionalFormatting sqref="E38:F38">
    <cfRule type="colorScale" priority="1203">
      <colorScale>
        <cfvo type="min"/>
        <cfvo type="percentile" val="50"/>
        <cfvo type="max"/>
        <color rgb="FFF8696B"/>
        <color rgb="FFFFEB84"/>
        <color rgb="FF63BE7B"/>
      </colorScale>
    </cfRule>
  </conditionalFormatting>
  <conditionalFormatting sqref="E38:F38">
    <cfRule type="colorScale" priority="1202">
      <colorScale>
        <cfvo type="min"/>
        <cfvo type="percentile" val="50"/>
        <cfvo type="max"/>
        <color rgb="FFF8696B"/>
        <color rgb="FFFFEB84"/>
        <color rgb="FF63BE7B"/>
      </colorScale>
    </cfRule>
  </conditionalFormatting>
  <conditionalFormatting sqref="E38:F38">
    <cfRule type="colorScale" priority="1201">
      <colorScale>
        <cfvo type="min"/>
        <cfvo type="percentile" val="50"/>
        <cfvo type="max"/>
        <color rgb="FFF8696B"/>
        <color rgb="FFFFEB84"/>
        <color rgb="FF63BE7B"/>
      </colorScale>
    </cfRule>
  </conditionalFormatting>
  <conditionalFormatting sqref="G38:H38">
    <cfRule type="colorScale" priority="1200">
      <colorScale>
        <cfvo type="min"/>
        <cfvo type="percentile" val="50"/>
        <cfvo type="max"/>
        <color rgb="FFF8696B"/>
        <color rgb="FFFFEB84"/>
        <color rgb="FF63BE7B"/>
      </colorScale>
    </cfRule>
  </conditionalFormatting>
  <conditionalFormatting sqref="G38:H38">
    <cfRule type="colorScale" priority="1199">
      <colorScale>
        <cfvo type="min"/>
        <cfvo type="percentile" val="50"/>
        <cfvo type="max"/>
        <color rgb="FFF8696B"/>
        <color rgb="FFFFEB84"/>
        <color rgb="FF63BE7B"/>
      </colorScale>
    </cfRule>
  </conditionalFormatting>
  <conditionalFormatting sqref="G38:H38">
    <cfRule type="colorScale" priority="1198">
      <colorScale>
        <cfvo type="min"/>
        <cfvo type="percentile" val="50"/>
        <cfvo type="max"/>
        <color rgb="FFF8696B"/>
        <color rgb="FFFFEB84"/>
        <color rgb="FF63BE7B"/>
      </colorScale>
    </cfRule>
  </conditionalFormatting>
  <conditionalFormatting sqref="G38:H38">
    <cfRule type="colorScale" priority="1197">
      <colorScale>
        <cfvo type="min"/>
        <cfvo type="percentile" val="50"/>
        <cfvo type="max"/>
        <color rgb="FFF8696B"/>
        <color rgb="FFFFEB84"/>
        <color rgb="FF63BE7B"/>
      </colorScale>
    </cfRule>
  </conditionalFormatting>
  <conditionalFormatting sqref="G38:H38">
    <cfRule type="colorScale" priority="1196">
      <colorScale>
        <cfvo type="min"/>
        <cfvo type="percentile" val="50"/>
        <cfvo type="max"/>
        <color rgb="FFF8696B"/>
        <color rgb="FFFFEB84"/>
        <color rgb="FF63BE7B"/>
      </colorScale>
    </cfRule>
  </conditionalFormatting>
  <conditionalFormatting sqref="G38:H38">
    <cfRule type="colorScale" priority="1195">
      <colorScale>
        <cfvo type="min"/>
        <cfvo type="percentile" val="50"/>
        <cfvo type="max"/>
        <color rgb="FFF8696B"/>
        <color rgb="FFFFEB84"/>
        <color rgb="FF63BE7B"/>
      </colorScale>
    </cfRule>
  </conditionalFormatting>
  <conditionalFormatting sqref="G38:H38">
    <cfRule type="colorScale" priority="1194">
      <colorScale>
        <cfvo type="min"/>
        <cfvo type="percentile" val="50"/>
        <cfvo type="max"/>
        <color rgb="FFF8696B"/>
        <color rgb="FFFFEB84"/>
        <color rgb="FF63BE7B"/>
      </colorScale>
    </cfRule>
  </conditionalFormatting>
  <conditionalFormatting sqref="G38:H38">
    <cfRule type="colorScale" priority="1193">
      <colorScale>
        <cfvo type="min"/>
        <cfvo type="percentile" val="50"/>
        <cfvo type="max"/>
        <color rgb="FFF8696B"/>
        <color rgb="FFFFEB84"/>
        <color rgb="FF63BE7B"/>
      </colorScale>
    </cfRule>
  </conditionalFormatting>
  <conditionalFormatting sqref="G38:H38">
    <cfRule type="colorScale" priority="1192">
      <colorScale>
        <cfvo type="min"/>
        <cfvo type="percentile" val="50"/>
        <cfvo type="max"/>
        <color rgb="FFF8696B"/>
        <color rgb="FFFFEB84"/>
        <color rgb="FF63BE7B"/>
      </colorScale>
    </cfRule>
  </conditionalFormatting>
  <conditionalFormatting sqref="G38:H38">
    <cfRule type="colorScale" priority="1191">
      <colorScale>
        <cfvo type="min"/>
        <cfvo type="percentile" val="50"/>
        <cfvo type="max"/>
        <color rgb="FFF8696B"/>
        <color rgb="FFFFEB84"/>
        <color rgb="FF63BE7B"/>
      </colorScale>
    </cfRule>
  </conditionalFormatting>
  <conditionalFormatting sqref="G38:H38">
    <cfRule type="colorScale" priority="1190">
      <colorScale>
        <cfvo type="min"/>
        <cfvo type="percentile" val="50"/>
        <cfvo type="max"/>
        <color rgb="FFF8696B"/>
        <color rgb="FFFFEB84"/>
        <color rgb="FF63BE7B"/>
      </colorScale>
    </cfRule>
  </conditionalFormatting>
  <conditionalFormatting sqref="I38:J38">
    <cfRule type="colorScale" priority="1189">
      <colorScale>
        <cfvo type="min"/>
        <cfvo type="percentile" val="50"/>
        <cfvo type="max"/>
        <color rgb="FFF8696B"/>
        <color rgb="FFFFEB84"/>
        <color rgb="FF63BE7B"/>
      </colorScale>
    </cfRule>
  </conditionalFormatting>
  <conditionalFormatting sqref="I38:J38">
    <cfRule type="colorScale" priority="1188">
      <colorScale>
        <cfvo type="min"/>
        <cfvo type="percentile" val="50"/>
        <cfvo type="max"/>
        <color rgb="FFF8696B"/>
        <color rgb="FFFFEB84"/>
        <color rgb="FF63BE7B"/>
      </colorScale>
    </cfRule>
  </conditionalFormatting>
  <conditionalFormatting sqref="I38:J38">
    <cfRule type="colorScale" priority="1187">
      <colorScale>
        <cfvo type="min"/>
        <cfvo type="percentile" val="50"/>
        <cfvo type="max"/>
        <color rgb="FFF8696B"/>
        <color rgb="FFFFEB84"/>
        <color rgb="FF63BE7B"/>
      </colorScale>
    </cfRule>
  </conditionalFormatting>
  <conditionalFormatting sqref="I38:J38">
    <cfRule type="colorScale" priority="1186">
      <colorScale>
        <cfvo type="min"/>
        <cfvo type="percentile" val="50"/>
        <cfvo type="max"/>
        <color rgb="FFF8696B"/>
        <color rgb="FFFFEB84"/>
        <color rgb="FF63BE7B"/>
      </colorScale>
    </cfRule>
  </conditionalFormatting>
  <conditionalFormatting sqref="I38:J38">
    <cfRule type="colorScale" priority="1185">
      <colorScale>
        <cfvo type="min"/>
        <cfvo type="percentile" val="50"/>
        <cfvo type="max"/>
        <color rgb="FFF8696B"/>
        <color rgb="FFFFEB84"/>
        <color rgb="FF63BE7B"/>
      </colorScale>
    </cfRule>
  </conditionalFormatting>
  <conditionalFormatting sqref="I38:J38">
    <cfRule type="colorScale" priority="1184">
      <colorScale>
        <cfvo type="min"/>
        <cfvo type="percentile" val="50"/>
        <cfvo type="max"/>
        <color rgb="FFF8696B"/>
        <color rgb="FFFFEB84"/>
        <color rgb="FF63BE7B"/>
      </colorScale>
    </cfRule>
  </conditionalFormatting>
  <conditionalFormatting sqref="I38:J38">
    <cfRule type="colorScale" priority="1183">
      <colorScale>
        <cfvo type="min"/>
        <cfvo type="percentile" val="50"/>
        <cfvo type="max"/>
        <color rgb="FFF8696B"/>
        <color rgb="FFFFEB84"/>
        <color rgb="FF63BE7B"/>
      </colorScale>
    </cfRule>
  </conditionalFormatting>
  <conditionalFormatting sqref="I38:J38">
    <cfRule type="colorScale" priority="1182">
      <colorScale>
        <cfvo type="min"/>
        <cfvo type="percentile" val="50"/>
        <cfvo type="max"/>
        <color rgb="FFF8696B"/>
        <color rgb="FFFFEB84"/>
        <color rgb="FF63BE7B"/>
      </colorScale>
    </cfRule>
  </conditionalFormatting>
  <conditionalFormatting sqref="I38:J38">
    <cfRule type="colorScale" priority="1181">
      <colorScale>
        <cfvo type="min"/>
        <cfvo type="percentile" val="50"/>
        <cfvo type="max"/>
        <color rgb="FFF8696B"/>
        <color rgb="FFFFEB84"/>
        <color rgb="FF63BE7B"/>
      </colorScale>
    </cfRule>
  </conditionalFormatting>
  <conditionalFormatting sqref="I38:J38">
    <cfRule type="colorScale" priority="1180">
      <colorScale>
        <cfvo type="min"/>
        <cfvo type="percentile" val="50"/>
        <cfvo type="max"/>
        <color rgb="FFF8696B"/>
        <color rgb="FFFFEB84"/>
        <color rgb="FF63BE7B"/>
      </colorScale>
    </cfRule>
  </conditionalFormatting>
  <conditionalFormatting sqref="I38:J38">
    <cfRule type="colorScale" priority="1179">
      <colorScale>
        <cfvo type="min"/>
        <cfvo type="percentile" val="50"/>
        <cfvo type="max"/>
        <color rgb="FFF8696B"/>
        <color rgb="FFFFEB84"/>
        <color rgb="FF63BE7B"/>
      </colorScale>
    </cfRule>
  </conditionalFormatting>
  <conditionalFormatting sqref="E40:F40">
    <cfRule type="colorScale" priority="1096">
      <colorScale>
        <cfvo type="min"/>
        <cfvo type="percentile" val="50"/>
        <cfvo type="max"/>
        <color rgb="FFF8696B"/>
        <color rgb="FFFFEB84"/>
        <color rgb="FF63BE7B"/>
      </colorScale>
    </cfRule>
  </conditionalFormatting>
  <conditionalFormatting sqref="E40:F40">
    <cfRule type="colorScale" priority="1095">
      <colorScale>
        <cfvo type="min"/>
        <cfvo type="percentile" val="50"/>
        <cfvo type="max"/>
        <color rgb="FFF8696B"/>
        <color rgb="FFFFEB84"/>
        <color rgb="FF63BE7B"/>
      </colorScale>
    </cfRule>
  </conditionalFormatting>
  <conditionalFormatting sqref="E40:F40">
    <cfRule type="colorScale" priority="1094">
      <colorScale>
        <cfvo type="min"/>
        <cfvo type="percentile" val="50"/>
        <cfvo type="max"/>
        <color rgb="FFF8696B"/>
        <color rgb="FFFFEB84"/>
        <color rgb="FF63BE7B"/>
      </colorScale>
    </cfRule>
  </conditionalFormatting>
  <conditionalFormatting sqref="E40:F40">
    <cfRule type="colorScale" priority="1093">
      <colorScale>
        <cfvo type="min"/>
        <cfvo type="percentile" val="50"/>
        <cfvo type="max"/>
        <color rgb="FFF8696B"/>
        <color rgb="FFFFEB84"/>
        <color rgb="FF63BE7B"/>
      </colorScale>
    </cfRule>
  </conditionalFormatting>
  <conditionalFormatting sqref="E40:F40">
    <cfRule type="colorScale" priority="1092">
      <colorScale>
        <cfvo type="min"/>
        <cfvo type="percentile" val="50"/>
        <cfvo type="max"/>
        <color rgb="FFF8696B"/>
        <color rgb="FFFFEB84"/>
        <color rgb="FF63BE7B"/>
      </colorScale>
    </cfRule>
  </conditionalFormatting>
  <conditionalFormatting sqref="E40:F40">
    <cfRule type="colorScale" priority="1091">
      <colorScale>
        <cfvo type="min"/>
        <cfvo type="percentile" val="50"/>
        <cfvo type="max"/>
        <color rgb="FFF8696B"/>
        <color rgb="FFFFEB84"/>
        <color rgb="FF63BE7B"/>
      </colorScale>
    </cfRule>
  </conditionalFormatting>
  <conditionalFormatting sqref="E40:F40">
    <cfRule type="colorScale" priority="1090">
      <colorScale>
        <cfvo type="min"/>
        <cfvo type="percentile" val="50"/>
        <cfvo type="max"/>
        <color rgb="FFF8696B"/>
        <color rgb="FFFFEB84"/>
        <color rgb="FF63BE7B"/>
      </colorScale>
    </cfRule>
  </conditionalFormatting>
  <conditionalFormatting sqref="E40:F40">
    <cfRule type="colorScale" priority="1089">
      <colorScale>
        <cfvo type="min"/>
        <cfvo type="percentile" val="50"/>
        <cfvo type="max"/>
        <color rgb="FFF8696B"/>
        <color rgb="FFFFEB84"/>
        <color rgb="FF63BE7B"/>
      </colorScale>
    </cfRule>
  </conditionalFormatting>
  <conditionalFormatting sqref="E40:F40">
    <cfRule type="colorScale" priority="1088">
      <colorScale>
        <cfvo type="min"/>
        <cfvo type="percentile" val="50"/>
        <cfvo type="max"/>
        <color rgb="FFF8696B"/>
        <color rgb="FFFFEB84"/>
        <color rgb="FF63BE7B"/>
      </colorScale>
    </cfRule>
  </conditionalFormatting>
  <conditionalFormatting sqref="E40:F40">
    <cfRule type="colorScale" priority="1087">
      <colorScale>
        <cfvo type="min"/>
        <cfvo type="percentile" val="50"/>
        <cfvo type="max"/>
        <color rgb="FFF8696B"/>
        <color rgb="FFFFEB84"/>
        <color rgb="FF63BE7B"/>
      </colorScale>
    </cfRule>
  </conditionalFormatting>
  <conditionalFormatting sqref="E40:F40">
    <cfRule type="colorScale" priority="1086">
      <colorScale>
        <cfvo type="min"/>
        <cfvo type="percentile" val="50"/>
        <cfvo type="max"/>
        <color rgb="FFF8696B"/>
        <color rgb="FFFFEB84"/>
        <color rgb="FF63BE7B"/>
      </colorScale>
    </cfRule>
  </conditionalFormatting>
  <conditionalFormatting sqref="E40:F40">
    <cfRule type="colorScale" priority="1085">
      <colorScale>
        <cfvo type="min"/>
        <cfvo type="percentile" val="50"/>
        <cfvo type="max"/>
        <color rgb="FFF8696B"/>
        <color rgb="FFFFEB84"/>
        <color rgb="FF63BE7B"/>
      </colorScale>
    </cfRule>
  </conditionalFormatting>
  <conditionalFormatting sqref="E40:F40">
    <cfRule type="colorScale" priority="1084">
      <colorScale>
        <cfvo type="min"/>
        <cfvo type="percentile" val="50"/>
        <cfvo type="max"/>
        <color rgb="FFF8696B"/>
        <color rgb="FFFFEB84"/>
        <color rgb="FF63BE7B"/>
      </colorScale>
    </cfRule>
  </conditionalFormatting>
  <conditionalFormatting sqref="G40:H40">
    <cfRule type="colorScale" priority="1083">
      <colorScale>
        <cfvo type="min"/>
        <cfvo type="percentile" val="50"/>
        <cfvo type="max"/>
        <color rgb="FFF8696B"/>
        <color rgb="FFFFEB84"/>
        <color rgb="FF63BE7B"/>
      </colorScale>
    </cfRule>
  </conditionalFormatting>
  <conditionalFormatting sqref="G40:H40">
    <cfRule type="colorScale" priority="1082">
      <colorScale>
        <cfvo type="min"/>
        <cfvo type="percentile" val="50"/>
        <cfvo type="max"/>
        <color rgb="FFF8696B"/>
        <color rgb="FFFFEB84"/>
        <color rgb="FF63BE7B"/>
      </colorScale>
    </cfRule>
  </conditionalFormatting>
  <conditionalFormatting sqref="G40:H40">
    <cfRule type="colorScale" priority="1081">
      <colorScale>
        <cfvo type="min"/>
        <cfvo type="percentile" val="50"/>
        <cfvo type="max"/>
        <color rgb="FFF8696B"/>
        <color rgb="FFFFEB84"/>
        <color rgb="FF63BE7B"/>
      </colorScale>
    </cfRule>
  </conditionalFormatting>
  <conditionalFormatting sqref="G40:H40">
    <cfRule type="colorScale" priority="1080">
      <colorScale>
        <cfvo type="min"/>
        <cfvo type="percentile" val="50"/>
        <cfvo type="max"/>
        <color rgb="FFF8696B"/>
        <color rgb="FFFFEB84"/>
        <color rgb="FF63BE7B"/>
      </colorScale>
    </cfRule>
  </conditionalFormatting>
  <conditionalFormatting sqref="G40:H40">
    <cfRule type="colorScale" priority="1079">
      <colorScale>
        <cfvo type="min"/>
        <cfvo type="percentile" val="50"/>
        <cfvo type="max"/>
        <color rgb="FFF8696B"/>
        <color rgb="FFFFEB84"/>
        <color rgb="FF63BE7B"/>
      </colorScale>
    </cfRule>
  </conditionalFormatting>
  <conditionalFormatting sqref="G40:H40">
    <cfRule type="colorScale" priority="1078">
      <colorScale>
        <cfvo type="min"/>
        <cfvo type="percentile" val="50"/>
        <cfvo type="max"/>
        <color rgb="FFF8696B"/>
        <color rgb="FFFFEB84"/>
        <color rgb="FF63BE7B"/>
      </colorScale>
    </cfRule>
  </conditionalFormatting>
  <conditionalFormatting sqref="G40:H40">
    <cfRule type="colorScale" priority="1077">
      <colorScale>
        <cfvo type="min"/>
        <cfvo type="percentile" val="50"/>
        <cfvo type="max"/>
        <color rgb="FFF8696B"/>
        <color rgb="FFFFEB84"/>
        <color rgb="FF63BE7B"/>
      </colorScale>
    </cfRule>
  </conditionalFormatting>
  <conditionalFormatting sqref="G40:H40">
    <cfRule type="colorScale" priority="1076">
      <colorScale>
        <cfvo type="min"/>
        <cfvo type="percentile" val="50"/>
        <cfvo type="max"/>
        <color rgb="FFF8696B"/>
        <color rgb="FFFFEB84"/>
        <color rgb="FF63BE7B"/>
      </colorScale>
    </cfRule>
  </conditionalFormatting>
  <conditionalFormatting sqref="G40:H40">
    <cfRule type="colorScale" priority="1075">
      <colorScale>
        <cfvo type="min"/>
        <cfvo type="percentile" val="50"/>
        <cfvo type="max"/>
        <color rgb="FFF8696B"/>
        <color rgb="FFFFEB84"/>
        <color rgb="FF63BE7B"/>
      </colorScale>
    </cfRule>
  </conditionalFormatting>
  <conditionalFormatting sqref="G40:H40">
    <cfRule type="colorScale" priority="1074">
      <colorScale>
        <cfvo type="min"/>
        <cfvo type="percentile" val="50"/>
        <cfvo type="max"/>
        <color rgb="FFF8696B"/>
        <color rgb="FFFFEB84"/>
        <color rgb="FF63BE7B"/>
      </colorScale>
    </cfRule>
  </conditionalFormatting>
  <conditionalFormatting sqref="G40:H40">
    <cfRule type="colorScale" priority="1073">
      <colorScale>
        <cfvo type="min"/>
        <cfvo type="percentile" val="50"/>
        <cfvo type="max"/>
        <color rgb="FFF8696B"/>
        <color rgb="FFFFEB84"/>
        <color rgb="FF63BE7B"/>
      </colorScale>
    </cfRule>
  </conditionalFormatting>
  <conditionalFormatting sqref="G40:H40">
    <cfRule type="colorScale" priority="1072">
      <colorScale>
        <cfvo type="min"/>
        <cfvo type="percentile" val="50"/>
        <cfvo type="max"/>
        <color rgb="FFF8696B"/>
        <color rgb="FFFFEB84"/>
        <color rgb="FF63BE7B"/>
      </colorScale>
    </cfRule>
  </conditionalFormatting>
  <conditionalFormatting sqref="I40:J40">
    <cfRule type="colorScale" priority="1071">
      <colorScale>
        <cfvo type="min"/>
        <cfvo type="percentile" val="50"/>
        <cfvo type="max"/>
        <color rgb="FFF8696B"/>
        <color rgb="FFFFEB84"/>
        <color rgb="FF63BE7B"/>
      </colorScale>
    </cfRule>
  </conditionalFormatting>
  <conditionalFormatting sqref="I40:J40">
    <cfRule type="colorScale" priority="1070">
      <colorScale>
        <cfvo type="min"/>
        <cfvo type="percentile" val="50"/>
        <cfvo type="max"/>
        <color rgb="FFF8696B"/>
        <color rgb="FFFFEB84"/>
        <color rgb="FF63BE7B"/>
      </colorScale>
    </cfRule>
  </conditionalFormatting>
  <conditionalFormatting sqref="I40:J40">
    <cfRule type="colorScale" priority="1069">
      <colorScale>
        <cfvo type="min"/>
        <cfvo type="percentile" val="50"/>
        <cfvo type="max"/>
        <color rgb="FFF8696B"/>
        <color rgb="FFFFEB84"/>
        <color rgb="FF63BE7B"/>
      </colorScale>
    </cfRule>
  </conditionalFormatting>
  <conditionalFormatting sqref="I40:J40">
    <cfRule type="colorScale" priority="1068">
      <colorScale>
        <cfvo type="min"/>
        <cfvo type="percentile" val="50"/>
        <cfvo type="max"/>
        <color rgb="FFF8696B"/>
        <color rgb="FFFFEB84"/>
        <color rgb="FF63BE7B"/>
      </colorScale>
    </cfRule>
  </conditionalFormatting>
  <conditionalFormatting sqref="I40:J40">
    <cfRule type="colorScale" priority="1067">
      <colorScale>
        <cfvo type="min"/>
        <cfvo type="percentile" val="50"/>
        <cfvo type="max"/>
        <color rgb="FFF8696B"/>
        <color rgb="FFFFEB84"/>
        <color rgb="FF63BE7B"/>
      </colorScale>
    </cfRule>
  </conditionalFormatting>
  <conditionalFormatting sqref="I40:J40">
    <cfRule type="colorScale" priority="1066">
      <colorScale>
        <cfvo type="min"/>
        <cfvo type="percentile" val="50"/>
        <cfvo type="max"/>
        <color rgb="FFF8696B"/>
        <color rgb="FFFFEB84"/>
        <color rgb="FF63BE7B"/>
      </colorScale>
    </cfRule>
  </conditionalFormatting>
  <conditionalFormatting sqref="I40:J40">
    <cfRule type="colorScale" priority="1065">
      <colorScale>
        <cfvo type="min"/>
        <cfvo type="percentile" val="50"/>
        <cfvo type="max"/>
        <color rgb="FFF8696B"/>
        <color rgb="FFFFEB84"/>
        <color rgb="FF63BE7B"/>
      </colorScale>
    </cfRule>
  </conditionalFormatting>
  <conditionalFormatting sqref="I40:J40">
    <cfRule type="colorScale" priority="1064">
      <colorScale>
        <cfvo type="min"/>
        <cfvo type="percentile" val="50"/>
        <cfvo type="max"/>
        <color rgb="FFF8696B"/>
        <color rgb="FFFFEB84"/>
        <color rgb="FF63BE7B"/>
      </colorScale>
    </cfRule>
  </conditionalFormatting>
  <conditionalFormatting sqref="I40:J40">
    <cfRule type="colorScale" priority="1063">
      <colorScale>
        <cfvo type="min"/>
        <cfvo type="percentile" val="50"/>
        <cfvo type="max"/>
        <color rgb="FFF8696B"/>
        <color rgb="FFFFEB84"/>
        <color rgb="FF63BE7B"/>
      </colorScale>
    </cfRule>
  </conditionalFormatting>
  <conditionalFormatting sqref="I40:J40">
    <cfRule type="colorScale" priority="1062">
      <colorScale>
        <cfvo type="min"/>
        <cfvo type="percentile" val="50"/>
        <cfvo type="max"/>
        <color rgb="FFF8696B"/>
        <color rgb="FFFFEB84"/>
        <color rgb="FF63BE7B"/>
      </colorScale>
    </cfRule>
  </conditionalFormatting>
  <conditionalFormatting sqref="I40:J40">
    <cfRule type="colorScale" priority="1061">
      <colorScale>
        <cfvo type="min"/>
        <cfvo type="percentile" val="50"/>
        <cfvo type="max"/>
        <color rgb="FFF8696B"/>
        <color rgb="FFFFEB84"/>
        <color rgb="FF63BE7B"/>
      </colorScale>
    </cfRule>
  </conditionalFormatting>
  <conditionalFormatting sqref="I40:J40">
    <cfRule type="colorScale" priority="1060">
      <colorScale>
        <cfvo type="min"/>
        <cfvo type="percentile" val="50"/>
        <cfvo type="max"/>
        <color rgb="FFF8696B"/>
        <color rgb="FFFFEB84"/>
        <color rgb="FF63BE7B"/>
      </colorScale>
    </cfRule>
  </conditionalFormatting>
  <conditionalFormatting sqref="E42:F42">
    <cfRule type="colorScale" priority="982">
      <colorScale>
        <cfvo type="min"/>
        <cfvo type="percentile" val="50"/>
        <cfvo type="max"/>
        <color rgb="FFF8696B"/>
        <color rgb="FFFFEB84"/>
        <color rgb="FF63BE7B"/>
      </colorScale>
    </cfRule>
  </conditionalFormatting>
  <conditionalFormatting sqref="E42:F42">
    <cfRule type="colorScale" priority="981">
      <colorScale>
        <cfvo type="min"/>
        <cfvo type="percentile" val="50"/>
        <cfvo type="max"/>
        <color rgb="FFF8696B"/>
        <color rgb="FFFFEB84"/>
        <color rgb="FF63BE7B"/>
      </colorScale>
    </cfRule>
  </conditionalFormatting>
  <conditionalFormatting sqref="E42:F42">
    <cfRule type="colorScale" priority="980">
      <colorScale>
        <cfvo type="min"/>
        <cfvo type="percentile" val="50"/>
        <cfvo type="max"/>
        <color rgb="FFF8696B"/>
        <color rgb="FFFFEB84"/>
        <color rgb="FF63BE7B"/>
      </colorScale>
    </cfRule>
  </conditionalFormatting>
  <conditionalFormatting sqref="E42:F42">
    <cfRule type="colorScale" priority="979">
      <colorScale>
        <cfvo type="min"/>
        <cfvo type="percentile" val="50"/>
        <cfvo type="max"/>
        <color rgb="FFF8696B"/>
        <color rgb="FFFFEB84"/>
        <color rgb="FF63BE7B"/>
      </colorScale>
    </cfRule>
  </conditionalFormatting>
  <conditionalFormatting sqref="E42:F42">
    <cfRule type="colorScale" priority="978">
      <colorScale>
        <cfvo type="min"/>
        <cfvo type="percentile" val="50"/>
        <cfvo type="max"/>
        <color rgb="FFF8696B"/>
        <color rgb="FFFFEB84"/>
        <color rgb="FF63BE7B"/>
      </colorScale>
    </cfRule>
  </conditionalFormatting>
  <conditionalFormatting sqref="E42:F42">
    <cfRule type="colorScale" priority="977">
      <colorScale>
        <cfvo type="min"/>
        <cfvo type="percentile" val="50"/>
        <cfvo type="max"/>
        <color rgb="FFF8696B"/>
        <color rgb="FFFFEB84"/>
        <color rgb="FF63BE7B"/>
      </colorScale>
    </cfRule>
  </conditionalFormatting>
  <conditionalFormatting sqref="E42:F42">
    <cfRule type="colorScale" priority="976">
      <colorScale>
        <cfvo type="min"/>
        <cfvo type="percentile" val="50"/>
        <cfvo type="max"/>
        <color rgb="FFF8696B"/>
        <color rgb="FFFFEB84"/>
        <color rgb="FF63BE7B"/>
      </colorScale>
    </cfRule>
  </conditionalFormatting>
  <conditionalFormatting sqref="E42:F42">
    <cfRule type="colorScale" priority="975">
      <colorScale>
        <cfvo type="min"/>
        <cfvo type="percentile" val="50"/>
        <cfvo type="max"/>
        <color rgb="FFF8696B"/>
        <color rgb="FFFFEB84"/>
        <color rgb="FF63BE7B"/>
      </colorScale>
    </cfRule>
  </conditionalFormatting>
  <conditionalFormatting sqref="E42:F42">
    <cfRule type="colorScale" priority="974">
      <colorScale>
        <cfvo type="min"/>
        <cfvo type="percentile" val="50"/>
        <cfvo type="max"/>
        <color rgb="FFF8696B"/>
        <color rgb="FFFFEB84"/>
        <color rgb="FF63BE7B"/>
      </colorScale>
    </cfRule>
  </conditionalFormatting>
  <conditionalFormatting sqref="E42:F42">
    <cfRule type="colorScale" priority="973">
      <colorScale>
        <cfvo type="min"/>
        <cfvo type="percentile" val="50"/>
        <cfvo type="max"/>
        <color rgb="FFF8696B"/>
        <color rgb="FFFFEB84"/>
        <color rgb="FF63BE7B"/>
      </colorScale>
    </cfRule>
  </conditionalFormatting>
  <conditionalFormatting sqref="E42:F42">
    <cfRule type="colorScale" priority="972">
      <colorScale>
        <cfvo type="min"/>
        <cfvo type="percentile" val="50"/>
        <cfvo type="max"/>
        <color rgb="FFF8696B"/>
        <color rgb="FFFFEB84"/>
        <color rgb="FF63BE7B"/>
      </colorScale>
    </cfRule>
  </conditionalFormatting>
  <conditionalFormatting sqref="E42:F42">
    <cfRule type="colorScale" priority="971">
      <colorScale>
        <cfvo type="min"/>
        <cfvo type="percentile" val="50"/>
        <cfvo type="max"/>
        <color rgb="FFF8696B"/>
        <color rgb="FFFFEB84"/>
        <color rgb="FF63BE7B"/>
      </colorScale>
    </cfRule>
  </conditionalFormatting>
  <conditionalFormatting sqref="E42:F42">
    <cfRule type="colorScale" priority="970">
      <colorScale>
        <cfvo type="min"/>
        <cfvo type="percentile" val="50"/>
        <cfvo type="max"/>
        <color rgb="FFF8696B"/>
        <color rgb="FFFFEB84"/>
        <color rgb="FF63BE7B"/>
      </colorScale>
    </cfRule>
  </conditionalFormatting>
  <conditionalFormatting sqref="E42:F42">
    <cfRule type="colorScale" priority="969">
      <colorScale>
        <cfvo type="min"/>
        <cfvo type="percentile" val="50"/>
        <cfvo type="max"/>
        <color rgb="FFF8696B"/>
        <color rgb="FFFFEB84"/>
        <color rgb="FF63BE7B"/>
      </colorScale>
    </cfRule>
  </conditionalFormatting>
  <conditionalFormatting sqref="G42:H42">
    <cfRule type="colorScale" priority="968">
      <colorScale>
        <cfvo type="min"/>
        <cfvo type="percentile" val="50"/>
        <cfvo type="max"/>
        <color rgb="FFF8696B"/>
        <color rgb="FFFFEB84"/>
        <color rgb="FF63BE7B"/>
      </colorScale>
    </cfRule>
  </conditionalFormatting>
  <conditionalFormatting sqref="G42:H42">
    <cfRule type="colorScale" priority="967">
      <colorScale>
        <cfvo type="min"/>
        <cfvo type="percentile" val="50"/>
        <cfvo type="max"/>
        <color rgb="FFF8696B"/>
        <color rgb="FFFFEB84"/>
        <color rgb="FF63BE7B"/>
      </colorScale>
    </cfRule>
  </conditionalFormatting>
  <conditionalFormatting sqref="G42:H42">
    <cfRule type="colorScale" priority="966">
      <colorScale>
        <cfvo type="min"/>
        <cfvo type="percentile" val="50"/>
        <cfvo type="max"/>
        <color rgb="FFF8696B"/>
        <color rgb="FFFFEB84"/>
        <color rgb="FF63BE7B"/>
      </colorScale>
    </cfRule>
  </conditionalFormatting>
  <conditionalFormatting sqref="G42:H42">
    <cfRule type="colorScale" priority="965">
      <colorScale>
        <cfvo type="min"/>
        <cfvo type="percentile" val="50"/>
        <cfvo type="max"/>
        <color rgb="FFF8696B"/>
        <color rgb="FFFFEB84"/>
        <color rgb="FF63BE7B"/>
      </colorScale>
    </cfRule>
  </conditionalFormatting>
  <conditionalFormatting sqref="G42:H42">
    <cfRule type="colorScale" priority="964">
      <colorScale>
        <cfvo type="min"/>
        <cfvo type="percentile" val="50"/>
        <cfvo type="max"/>
        <color rgb="FFF8696B"/>
        <color rgb="FFFFEB84"/>
        <color rgb="FF63BE7B"/>
      </colorScale>
    </cfRule>
  </conditionalFormatting>
  <conditionalFormatting sqref="G42:H42">
    <cfRule type="colorScale" priority="963">
      <colorScale>
        <cfvo type="min"/>
        <cfvo type="percentile" val="50"/>
        <cfvo type="max"/>
        <color rgb="FFF8696B"/>
        <color rgb="FFFFEB84"/>
        <color rgb="FF63BE7B"/>
      </colorScale>
    </cfRule>
  </conditionalFormatting>
  <conditionalFormatting sqref="G42:H42">
    <cfRule type="colorScale" priority="962">
      <colorScale>
        <cfvo type="min"/>
        <cfvo type="percentile" val="50"/>
        <cfvo type="max"/>
        <color rgb="FFF8696B"/>
        <color rgb="FFFFEB84"/>
        <color rgb="FF63BE7B"/>
      </colorScale>
    </cfRule>
  </conditionalFormatting>
  <conditionalFormatting sqref="G42:H42">
    <cfRule type="colorScale" priority="961">
      <colorScale>
        <cfvo type="min"/>
        <cfvo type="percentile" val="50"/>
        <cfvo type="max"/>
        <color rgb="FFF8696B"/>
        <color rgb="FFFFEB84"/>
        <color rgb="FF63BE7B"/>
      </colorScale>
    </cfRule>
  </conditionalFormatting>
  <conditionalFormatting sqref="G42:H42">
    <cfRule type="colorScale" priority="960">
      <colorScale>
        <cfvo type="min"/>
        <cfvo type="percentile" val="50"/>
        <cfvo type="max"/>
        <color rgb="FFF8696B"/>
        <color rgb="FFFFEB84"/>
        <color rgb="FF63BE7B"/>
      </colorScale>
    </cfRule>
  </conditionalFormatting>
  <conditionalFormatting sqref="G42:H42">
    <cfRule type="colorScale" priority="959">
      <colorScale>
        <cfvo type="min"/>
        <cfvo type="percentile" val="50"/>
        <cfvo type="max"/>
        <color rgb="FFF8696B"/>
        <color rgb="FFFFEB84"/>
        <color rgb="FF63BE7B"/>
      </colorScale>
    </cfRule>
  </conditionalFormatting>
  <conditionalFormatting sqref="G42:H42">
    <cfRule type="colorScale" priority="958">
      <colorScale>
        <cfvo type="min"/>
        <cfvo type="percentile" val="50"/>
        <cfvo type="max"/>
        <color rgb="FFF8696B"/>
        <color rgb="FFFFEB84"/>
        <color rgb="FF63BE7B"/>
      </colorScale>
    </cfRule>
  </conditionalFormatting>
  <conditionalFormatting sqref="G42:H42">
    <cfRule type="colorScale" priority="957">
      <colorScale>
        <cfvo type="min"/>
        <cfvo type="percentile" val="50"/>
        <cfvo type="max"/>
        <color rgb="FFF8696B"/>
        <color rgb="FFFFEB84"/>
        <color rgb="FF63BE7B"/>
      </colorScale>
    </cfRule>
  </conditionalFormatting>
  <conditionalFormatting sqref="G42:H42">
    <cfRule type="colorScale" priority="956">
      <colorScale>
        <cfvo type="min"/>
        <cfvo type="percentile" val="50"/>
        <cfvo type="max"/>
        <color rgb="FFF8696B"/>
        <color rgb="FFFFEB84"/>
        <color rgb="FF63BE7B"/>
      </colorScale>
    </cfRule>
  </conditionalFormatting>
  <conditionalFormatting sqref="I42:J42">
    <cfRule type="colorScale" priority="955">
      <colorScale>
        <cfvo type="min"/>
        <cfvo type="percentile" val="50"/>
        <cfvo type="max"/>
        <color rgb="FFF8696B"/>
        <color rgb="FFFFEB84"/>
        <color rgb="FF63BE7B"/>
      </colorScale>
    </cfRule>
  </conditionalFormatting>
  <conditionalFormatting sqref="I42:J42">
    <cfRule type="colorScale" priority="954">
      <colorScale>
        <cfvo type="min"/>
        <cfvo type="percentile" val="50"/>
        <cfvo type="max"/>
        <color rgb="FFF8696B"/>
        <color rgb="FFFFEB84"/>
        <color rgb="FF63BE7B"/>
      </colorScale>
    </cfRule>
  </conditionalFormatting>
  <conditionalFormatting sqref="I42:J42">
    <cfRule type="colorScale" priority="953">
      <colorScale>
        <cfvo type="min"/>
        <cfvo type="percentile" val="50"/>
        <cfvo type="max"/>
        <color rgb="FFF8696B"/>
        <color rgb="FFFFEB84"/>
        <color rgb="FF63BE7B"/>
      </colorScale>
    </cfRule>
  </conditionalFormatting>
  <conditionalFormatting sqref="I42:J42">
    <cfRule type="colorScale" priority="952">
      <colorScale>
        <cfvo type="min"/>
        <cfvo type="percentile" val="50"/>
        <cfvo type="max"/>
        <color rgb="FFF8696B"/>
        <color rgb="FFFFEB84"/>
        <color rgb="FF63BE7B"/>
      </colorScale>
    </cfRule>
  </conditionalFormatting>
  <conditionalFormatting sqref="I42:J42">
    <cfRule type="colorScale" priority="951">
      <colorScale>
        <cfvo type="min"/>
        <cfvo type="percentile" val="50"/>
        <cfvo type="max"/>
        <color rgb="FFF8696B"/>
        <color rgb="FFFFEB84"/>
        <color rgb="FF63BE7B"/>
      </colorScale>
    </cfRule>
  </conditionalFormatting>
  <conditionalFormatting sqref="I42:J42">
    <cfRule type="colorScale" priority="950">
      <colorScale>
        <cfvo type="min"/>
        <cfvo type="percentile" val="50"/>
        <cfvo type="max"/>
        <color rgb="FFF8696B"/>
        <color rgb="FFFFEB84"/>
        <color rgb="FF63BE7B"/>
      </colorScale>
    </cfRule>
  </conditionalFormatting>
  <conditionalFormatting sqref="I42:J42">
    <cfRule type="colorScale" priority="949">
      <colorScale>
        <cfvo type="min"/>
        <cfvo type="percentile" val="50"/>
        <cfvo type="max"/>
        <color rgb="FFF8696B"/>
        <color rgb="FFFFEB84"/>
        <color rgb="FF63BE7B"/>
      </colorScale>
    </cfRule>
  </conditionalFormatting>
  <conditionalFormatting sqref="I42:J42">
    <cfRule type="colorScale" priority="948">
      <colorScale>
        <cfvo type="min"/>
        <cfvo type="percentile" val="50"/>
        <cfvo type="max"/>
        <color rgb="FFF8696B"/>
        <color rgb="FFFFEB84"/>
        <color rgb="FF63BE7B"/>
      </colorScale>
    </cfRule>
  </conditionalFormatting>
  <conditionalFormatting sqref="I42:J42">
    <cfRule type="colorScale" priority="947">
      <colorScale>
        <cfvo type="min"/>
        <cfvo type="percentile" val="50"/>
        <cfvo type="max"/>
        <color rgb="FFF8696B"/>
        <color rgb="FFFFEB84"/>
        <color rgb="FF63BE7B"/>
      </colorScale>
    </cfRule>
  </conditionalFormatting>
  <conditionalFormatting sqref="I42:J42">
    <cfRule type="colorScale" priority="946">
      <colorScale>
        <cfvo type="min"/>
        <cfvo type="percentile" val="50"/>
        <cfvo type="max"/>
        <color rgb="FFF8696B"/>
        <color rgb="FFFFEB84"/>
        <color rgb="FF63BE7B"/>
      </colorScale>
    </cfRule>
  </conditionalFormatting>
  <conditionalFormatting sqref="I42:J42">
    <cfRule type="colorScale" priority="945">
      <colorScale>
        <cfvo type="min"/>
        <cfvo type="percentile" val="50"/>
        <cfvo type="max"/>
        <color rgb="FFF8696B"/>
        <color rgb="FFFFEB84"/>
        <color rgb="FF63BE7B"/>
      </colorScale>
    </cfRule>
  </conditionalFormatting>
  <conditionalFormatting sqref="I42:J42">
    <cfRule type="colorScale" priority="944">
      <colorScale>
        <cfvo type="min"/>
        <cfvo type="percentile" val="50"/>
        <cfvo type="max"/>
        <color rgb="FFF8696B"/>
        <color rgb="FFFFEB84"/>
        <color rgb="FF63BE7B"/>
      </colorScale>
    </cfRule>
  </conditionalFormatting>
  <conditionalFormatting sqref="I42:J42">
    <cfRule type="colorScale" priority="943">
      <colorScale>
        <cfvo type="min"/>
        <cfvo type="percentile" val="50"/>
        <cfvo type="max"/>
        <color rgb="FFF8696B"/>
        <color rgb="FFFFEB84"/>
        <color rgb="FF63BE7B"/>
      </colorScale>
    </cfRule>
  </conditionalFormatting>
  <conditionalFormatting sqref="E44:F44">
    <cfRule type="colorScale" priority="736">
      <colorScale>
        <cfvo type="min"/>
        <cfvo type="percentile" val="50"/>
        <cfvo type="max"/>
        <color rgb="FFF8696B"/>
        <color rgb="FFFFEB84"/>
        <color rgb="FF63BE7B"/>
      </colorScale>
    </cfRule>
  </conditionalFormatting>
  <conditionalFormatting sqref="E44:F44">
    <cfRule type="colorScale" priority="735">
      <colorScale>
        <cfvo type="min"/>
        <cfvo type="percentile" val="50"/>
        <cfvo type="max"/>
        <color rgb="FFF8696B"/>
        <color rgb="FFFFEB84"/>
        <color rgb="FF63BE7B"/>
      </colorScale>
    </cfRule>
  </conditionalFormatting>
  <conditionalFormatting sqref="E44:F44">
    <cfRule type="colorScale" priority="734">
      <colorScale>
        <cfvo type="min"/>
        <cfvo type="percentile" val="50"/>
        <cfvo type="max"/>
        <color rgb="FFF8696B"/>
        <color rgb="FFFFEB84"/>
        <color rgb="FF63BE7B"/>
      </colorScale>
    </cfRule>
  </conditionalFormatting>
  <conditionalFormatting sqref="E44:F44">
    <cfRule type="colorScale" priority="733">
      <colorScale>
        <cfvo type="min"/>
        <cfvo type="percentile" val="50"/>
        <cfvo type="max"/>
        <color rgb="FFF8696B"/>
        <color rgb="FFFFEB84"/>
        <color rgb="FF63BE7B"/>
      </colorScale>
    </cfRule>
  </conditionalFormatting>
  <conditionalFormatting sqref="E44:F44">
    <cfRule type="colorScale" priority="732">
      <colorScale>
        <cfvo type="min"/>
        <cfvo type="percentile" val="50"/>
        <cfvo type="max"/>
        <color rgb="FFF8696B"/>
        <color rgb="FFFFEB84"/>
        <color rgb="FF63BE7B"/>
      </colorScale>
    </cfRule>
  </conditionalFormatting>
  <conditionalFormatting sqref="E44:F44">
    <cfRule type="colorScale" priority="731">
      <colorScale>
        <cfvo type="min"/>
        <cfvo type="percentile" val="50"/>
        <cfvo type="max"/>
        <color rgb="FFF8696B"/>
        <color rgb="FFFFEB84"/>
        <color rgb="FF63BE7B"/>
      </colorScale>
    </cfRule>
  </conditionalFormatting>
  <conditionalFormatting sqref="E44:F44">
    <cfRule type="colorScale" priority="730">
      <colorScale>
        <cfvo type="min"/>
        <cfvo type="percentile" val="50"/>
        <cfvo type="max"/>
        <color rgb="FFF8696B"/>
        <color rgb="FFFFEB84"/>
        <color rgb="FF63BE7B"/>
      </colorScale>
    </cfRule>
  </conditionalFormatting>
  <conditionalFormatting sqref="E44:F44">
    <cfRule type="colorScale" priority="729">
      <colorScale>
        <cfvo type="min"/>
        <cfvo type="percentile" val="50"/>
        <cfvo type="max"/>
        <color rgb="FFF8696B"/>
        <color rgb="FFFFEB84"/>
        <color rgb="FF63BE7B"/>
      </colorScale>
    </cfRule>
  </conditionalFormatting>
  <conditionalFormatting sqref="E44:F44">
    <cfRule type="colorScale" priority="728">
      <colorScale>
        <cfvo type="min"/>
        <cfvo type="percentile" val="50"/>
        <cfvo type="max"/>
        <color rgb="FFF8696B"/>
        <color rgb="FFFFEB84"/>
        <color rgb="FF63BE7B"/>
      </colorScale>
    </cfRule>
  </conditionalFormatting>
  <conditionalFormatting sqref="E44:F44">
    <cfRule type="colorScale" priority="727">
      <colorScale>
        <cfvo type="min"/>
        <cfvo type="percentile" val="50"/>
        <cfvo type="max"/>
        <color rgb="FFF8696B"/>
        <color rgb="FFFFEB84"/>
        <color rgb="FF63BE7B"/>
      </colorScale>
    </cfRule>
  </conditionalFormatting>
  <conditionalFormatting sqref="E44:F44">
    <cfRule type="colorScale" priority="726">
      <colorScale>
        <cfvo type="min"/>
        <cfvo type="percentile" val="50"/>
        <cfvo type="max"/>
        <color rgb="FFF8696B"/>
        <color rgb="FFFFEB84"/>
        <color rgb="FF63BE7B"/>
      </colorScale>
    </cfRule>
  </conditionalFormatting>
  <conditionalFormatting sqref="E44:F44">
    <cfRule type="colorScale" priority="725">
      <colorScale>
        <cfvo type="min"/>
        <cfvo type="percentile" val="50"/>
        <cfvo type="max"/>
        <color rgb="FFF8696B"/>
        <color rgb="FFFFEB84"/>
        <color rgb="FF63BE7B"/>
      </colorScale>
    </cfRule>
  </conditionalFormatting>
  <conditionalFormatting sqref="E44:F44">
    <cfRule type="colorScale" priority="724">
      <colorScale>
        <cfvo type="min"/>
        <cfvo type="percentile" val="50"/>
        <cfvo type="max"/>
        <color rgb="FFF8696B"/>
        <color rgb="FFFFEB84"/>
        <color rgb="FF63BE7B"/>
      </colorScale>
    </cfRule>
  </conditionalFormatting>
  <conditionalFormatting sqref="E44:F44">
    <cfRule type="colorScale" priority="723">
      <colorScale>
        <cfvo type="min"/>
        <cfvo type="percentile" val="50"/>
        <cfvo type="max"/>
        <color rgb="FFF8696B"/>
        <color rgb="FFFFEB84"/>
        <color rgb="FF63BE7B"/>
      </colorScale>
    </cfRule>
  </conditionalFormatting>
  <conditionalFormatting sqref="E44:F44">
    <cfRule type="colorScale" priority="722">
      <colorScale>
        <cfvo type="min"/>
        <cfvo type="percentile" val="50"/>
        <cfvo type="max"/>
        <color rgb="FFF8696B"/>
        <color rgb="FFFFEB84"/>
        <color rgb="FF63BE7B"/>
      </colorScale>
    </cfRule>
  </conditionalFormatting>
  <conditionalFormatting sqref="G44:H44">
    <cfRule type="colorScale" priority="721">
      <colorScale>
        <cfvo type="min"/>
        <cfvo type="percentile" val="50"/>
        <cfvo type="max"/>
        <color rgb="FFF8696B"/>
        <color rgb="FFFFEB84"/>
        <color rgb="FF63BE7B"/>
      </colorScale>
    </cfRule>
  </conditionalFormatting>
  <conditionalFormatting sqref="G44:H44">
    <cfRule type="colorScale" priority="720">
      <colorScale>
        <cfvo type="min"/>
        <cfvo type="percentile" val="50"/>
        <cfvo type="max"/>
        <color rgb="FFF8696B"/>
        <color rgb="FFFFEB84"/>
        <color rgb="FF63BE7B"/>
      </colorScale>
    </cfRule>
  </conditionalFormatting>
  <conditionalFormatting sqref="G44:H44">
    <cfRule type="colorScale" priority="719">
      <colorScale>
        <cfvo type="min"/>
        <cfvo type="percentile" val="50"/>
        <cfvo type="max"/>
        <color rgb="FFF8696B"/>
        <color rgb="FFFFEB84"/>
        <color rgb="FF63BE7B"/>
      </colorScale>
    </cfRule>
  </conditionalFormatting>
  <conditionalFormatting sqref="G44:H44">
    <cfRule type="colorScale" priority="718">
      <colorScale>
        <cfvo type="min"/>
        <cfvo type="percentile" val="50"/>
        <cfvo type="max"/>
        <color rgb="FFF8696B"/>
        <color rgb="FFFFEB84"/>
        <color rgb="FF63BE7B"/>
      </colorScale>
    </cfRule>
  </conditionalFormatting>
  <conditionalFormatting sqref="G44:H44">
    <cfRule type="colorScale" priority="717">
      <colorScale>
        <cfvo type="min"/>
        <cfvo type="percentile" val="50"/>
        <cfvo type="max"/>
        <color rgb="FFF8696B"/>
        <color rgb="FFFFEB84"/>
        <color rgb="FF63BE7B"/>
      </colorScale>
    </cfRule>
  </conditionalFormatting>
  <conditionalFormatting sqref="G44:H44">
    <cfRule type="colorScale" priority="716">
      <colorScale>
        <cfvo type="min"/>
        <cfvo type="percentile" val="50"/>
        <cfvo type="max"/>
        <color rgb="FFF8696B"/>
        <color rgb="FFFFEB84"/>
        <color rgb="FF63BE7B"/>
      </colorScale>
    </cfRule>
  </conditionalFormatting>
  <conditionalFormatting sqref="G44:H44">
    <cfRule type="colorScale" priority="715">
      <colorScale>
        <cfvo type="min"/>
        <cfvo type="percentile" val="50"/>
        <cfvo type="max"/>
        <color rgb="FFF8696B"/>
        <color rgb="FFFFEB84"/>
        <color rgb="FF63BE7B"/>
      </colorScale>
    </cfRule>
  </conditionalFormatting>
  <conditionalFormatting sqref="G44:H44">
    <cfRule type="colorScale" priority="714">
      <colorScale>
        <cfvo type="min"/>
        <cfvo type="percentile" val="50"/>
        <cfvo type="max"/>
        <color rgb="FFF8696B"/>
        <color rgb="FFFFEB84"/>
        <color rgb="FF63BE7B"/>
      </colorScale>
    </cfRule>
  </conditionalFormatting>
  <conditionalFormatting sqref="G44:H44">
    <cfRule type="colorScale" priority="713">
      <colorScale>
        <cfvo type="min"/>
        <cfvo type="percentile" val="50"/>
        <cfvo type="max"/>
        <color rgb="FFF8696B"/>
        <color rgb="FFFFEB84"/>
        <color rgb="FF63BE7B"/>
      </colorScale>
    </cfRule>
  </conditionalFormatting>
  <conditionalFormatting sqref="G44:H44">
    <cfRule type="colorScale" priority="712">
      <colorScale>
        <cfvo type="min"/>
        <cfvo type="percentile" val="50"/>
        <cfvo type="max"/>
        <color rgb="FFF8696B"/>
        <color rgb="FFFFEB84"/>
        <color rgb="FF63BE7B"/>
      </colorScale>
    </cfRule>
  </conditionalFormatting>
  <conditionalFormatting sqref="G44:H44">
    <cfRule type="colorScale" priority="711">
      <colorScale>
        <cfvo type="min"/>
        <cfvo type="percentile" val="50"/>
        <cfvo type="max"/>
        <color rgb="FFF8696B"/>
        <color rgb="FFFFEB84"/>
        <color rgb="FF63BE7B"/>
      </colorScale>
    </cfRule>
  </conditionalFormatting>
  <conditionalFormatting sqref="G44:H44">
    <cfRule type="colorScale" priority="710">
      <colorScale>
        <cfvo type="min"/>
        <cfvo type="percentile" val="50"/>
        <cfvo type="max"/>
        <color rgb="FFF8696B"/>
        <color rgb="FFFFEB84"/>
        <color rgb="FF63BE7B"/>
      </colorScale>
    </cfRule>
  </conditionalFormatting>
  <conditionalFormatting sqref="G44:H44">
    <cfRule type="colorScale" priority="709">
      <colorScale>
        <cfvo type="min"/>
        <cfvo type="percentile" val="50"/>
        <cfvo type="max"/>
        <color rgb="FFF8696B"/>
        <color rgb="FFFFEB84"/>
        <color rgb="FF63BE7B"/>
      </colorScale>
    </cfRule>
  </conditionalFormatting>
  <conditionalFormatting sqref="G44:H44">
    <cfRule type="colorScale" priority="708">
      <colorScale>
        <cfvo type="min"/>
        <cfvo type="percentile" val="50"/>
        <cfvo type="max"/>
        <color rgb="FFF8696B"/>
        <color rgb="FFFFEB84"/>
        <color rgb="FF63BE7B"/>
      </colorScale>
    </cfRule>
  </conditionalFormatting>
  <conditionalFormatting sqref="I44:J44">
    <cfRule type="colorScale" priority="707">
      <colorScale>
        <cfvo type="min"/>
        <cfvo type="percentile" val="50"/>
        <cfvo type="max"/>
        <color rgb="FFF8696B"/>
        <color rgb="FFFFEB84"/>
        <color rgb="FF63BE7B"/>
      </colorScale>
    </cfRule>
  </conditionalFormatting>
  <conditionalFormatting sqref="I44:J44">
    <cfRule type="colorScale" priority="706">
      <colorScale>
        <cfvo type="min"/>
        <cfvo type="percentile" val="50"/>
        <cfvo type="max"/>
        <color rgb="FFF8696B"/>
        <color rgb="FFFFEB84"/>
        <color rgb="FF63BE7B"/>
      </colorScale>
    </cfRule>
  </conditionalFormatting>
  <conditionalFormatting sqref="I44:J44">
    <cfRule type="colorScale" priority="705">
      <colorScale>
        <cfvo type="min"/>
        <cfvo type="percentile" val="50"/>
        <cfvo type="max"/>
        <color rgb="FFF8696B"/>
        <color rgb="FFFFEB84"/>
        <color rgb="FF63BE7B"/>
      </colorScale>
    </cfRule>
  </conditionalFormatting>
  <conditionalFormatting sqref="I44:J44">
    <cfRule type="colorScale" priority="704">
      <colorScale>
        <cfvo type="min"/>
        <cfvo type="percentile" val="50"/>
        <cfvo type="max"/>
        <color rgb="FFF8696B"/>
        <color rgb="FFFFEB84"/>
        <color rgb="FF63BE7B"/>
      </colorScale>
    </cfRule>
  </conditionalFormatting>
  <conditionalFormatting sqref="I44:J44">
    <cfRule type="colorScale" priority="703">
      <colorScale>
        <cfvo type="min"/>
        <cfvo type="percentile" val="50"/>
        <cfvo type="max"/>
        <color rgb="FFF8696B"/>
        <color rgb="FFFFEB84"/>
        <color rgb="FF63BE7B"/>
      </colorScale>
    </cfRule>
  </conditionalFormatting>
  <conditionalFormatting sqref="I44:J44">
    <cfRule type="colorScale" priority="702">
      <colorScale>
        <cfvo type="min"/>
        <cfvo type="percentile" val="50"/>
        <cfvo type="max"/>
        <color rgb="FFF8696B"/>
        <color rgb="FFFFEB84"/>
        <color rgb="FF63BE7B"/>
      </colorScale>
    </cfRule>
  </conditionalFormatting>
  <conditionalFormatting sqref="I44:J44">
    <cfRule type="colorScale" priority="701">
      <colorScale>
        <cfvo type="min"/>
        <cfvo type="percentile" val="50"/>
        <cfvo type="max"/>
        <color rgb="FFF8696B"/>
        <color rgb="FFFFEB84"/>
        <color rgb="FF63BE7B"/>
      </colorScale>
    </cfRule>
  </conditionalFormatting>
  <conditionalFormatting sqref="I44:J44">
    <cfRule type="colorScale" priority="700">
      <colorScale>
        <cfvo type="min"/>
        <cfvo type="percentile" val="50"/>
        <cfvo type="max"/>
        <color rgb="FFF8696B"/>
        <color rgb="FFFFEB84"/>
        <color rgb="FF63BE7B"/>
      </colorScale>
    </cfRule>
  </conditionalFormatting>
  <conditionalFormatting sqref="I44:J44">
    <cfRule type="colorScale" priority="699">
      <colorScale>
        <cfvo type="min"/>
        <cfvo type="percentile" val="50"/>
        <cfvo type="max"/>
        <color rgb="FFF8696B"/>
        <color rgb="FFFFEB84"/>
        <color rgb="FF63BE7B"/>
      </colorScale>
    </cfRule>
  </conditionalFormatting>
  <conditionalFormatting sqref="I44:J44">
    <cfRule type="colorScale" priority="698">
      <colorScale>
        <cfvo type="min"/>
        <cfvo type="percentile" val="50"/>
        <cfvo type="max"/>
        <color rgb="FFF8696B"/>
        <color rgb="FFFFEB84"/>
        <color rgb="FF63BE7B"/>
      </colorScale>
    </cfRule>
  </conditionalFormatting>
  <conditionalFormatting sqref="I44:J44">
    <cfRule type="colorScale" priority="697">
      <colorScale>
        <cfvo type="min"/>
        <cfvo type="percentile" val="50"/>
        <cfvo type="max"/>
        <color rgb="FFF8696B"/>
        <color rgb="FFFFEB84"/>
        <color rgb="FF63BE7B"/>
      </colorScale>
    </cfRule>
  </conditionalFormatting>
  <conditionalFormatting sqref="I44:J44">
    <cfRule type="colorScale" priority="696">
      <colorScale>
        <cfvo type="min"/>
        <cfvo type="percentile" val="50"/>
        <cfvo type="max"/>
        <color rgb="FFF8696B"/>
        <color rgb="FFFFEB84"/>
        <color rgb="FF63BE7B"/>
      </colorScale>
    </cfRule>
  </conditionalFormatting>
  <conditionalFormatting sqref="I44:J44">
    <cfRule type="colorScale" priority="695">
      <colorScale>
        <cfvo type="min"/>
        <cfvo type="percentile" val="50"/>
        <cfvo type="max"/>
        <color rgb="FFF8696B"/>
        <color rgb="FFFFEB84"/>
        <color rgb="FF63BE7B"/>
      </colorScale>
    </cfRule>
  </conditionalFormatting>
  <conditionalFormatting sqref="I44:J44">
    <cfRule type="colorScale" priority="694">
      <colorScale>
        <cfvo type="min"/>
        <cfvo type="percentile" val="50"/>
        <cfvo type="max"/>
        <color rgb="FFF8696B"/>
        <color rgb="FFFFEB84"/>
        <color rgb="FF63BE7B"/>
      </colorScale>
    </cfRule>
  </conditionalFormatting>
  <conditionalFormatting sqref="E46:F46 E48:F48 E50:F50">
    <cfRule type="colorScale" priority="461">
      <colorScale>
        <cfvo type="min"/>
        <cfvo type="percentile" val="50"/>
        <cfvo type="max"/>
        <color rgb="FFF8696B"/>
        <color rgb="FFFFEB84"/>
        <color rgb="FF63BE7B"/>
      </colorScale>
    </cfRule>
  </conditionalFormatting>
  <conditionalFormatting sqref="E46:F46">
    <cfRule type="colorScale" priority="460">
      <colorScale>
        <cfvo type="min"/>
        <cfvo type="percentile" val="50"/>
        <cfvo type="max"/>
        <color rgb="FFF8696B"/>
        <color rgb="FFFFEB84"/>
        <color rgb="FF63BE7B"/>
      </colorScale>
    </cfRule>
  </conditionalFormatting>
  <conditionalFormatting sqref="E46:F46">
    <cfRule type="colorScale" priority="459">
      <colorScale>
        <cfvo type="min"/>
        <cfvo type="percentile" val="50"/>
        <cfvo type="max"/>
        <color rgb="FFF8696B"/>
        <color rgb="FFFFEB84"/>
        <color rgb="FF63BE7B"/>
      </colorScale>
    </cfRule>
  </conditionalFormatting>
  <conditionalFormatting sqref="E46:F46">
    <cfRule type="colorScale" priority="458">
      <colorScale>
        <cfvo type="min"/>
        <cfvo type="percentile" val="50"/>
        <cfvo type="max"/>
        <color rgb="FFF8696B"/>
        <color rgb="FFFFEB84"/>
        <color rgb="FF63BE7B"/>
      </colorScale>
    </cfRule>
  </conditionalFormatting>
  <conditionalFormatting sqref="E46:F46">
    <cfRule type="colorScale" priority="457">
      <colorScale>
        <cfvo type="min"/>
        <cfvo type="percentile" val="50"/>
        <cfvo type="max"/>
        <color rgb="FFF8696B"/>
        <color rgb="FFFFEB84"/>
        <color rgb="FF63BE7B"/>
      </colorScale>
    </cfRule>
  </conditionalFormatting>
  <conditionalFormatting sqref="E46:F46">
    <cfRule type="colorScale" priority="456">
      <colorScale>
        <cfvo type="min"/>
        <cfvo type="percentile" val="50"/>
        <cfvo type="max"/>
        <color rgb="FFF8696B"/>
        <color rgb="FFFFEB84"/>
        <color rgb="FF63BE7B"/>
      </colorScale>
    </cfRule>
  </conditionalFormatting>
  <conditionalFormatting sqref="E46:F46">
    <cfRule type="colorScale" priority="455">
      <colorScale>
        <cfvo type="min"/>
        <cfvo type="percentile" val="50"/>
        <cfvo type="max"/>
        <color rgb="FFF8696B"/>
        <color rgb="FFFFEB84"/>
        <color rgb="FF63BE7B"/>
      </colorScale>
    </cfRule>
  </conditionalFormatting>
  <conditionalFormatting sqref="E46:F46">
    <cfRule type="colorScale" priority="454">
      <colorScale>
        <cfvo type="min"/>
        <cfvo type="percentile" val="50"/>
        <cfvo type="max"/>
        <color rgb="FFF8696B"/>
        <color rgb="FFFFEB84"/>
        <color rgb="FF63BE7B"/>
      </colorScale>
    </cfRule>
  </conditionalFormatting>
  <conditionalFormatting sqref="E46:F46">
    <cfRule type="colorScale" priority="453">
      <colorScale>
        <cfvo type="min"/>
        <cfvo type="percentile" val="50"/>
        <cfvo type="max"/>
        <color rgb="FFF8696B"/>
        <color rgb="FFFFEB84"/>
        <color rgb="FF63BE7B"/>
      </colorScale>
    </cfRule>
  </conditionalFormatting>
  <conditionalFormatting sqref="E46:F46">
    <cfRule type="colorScale" priority="452">
      <colorScale>
        <cfvo type="min"/>
        <cfvo type="percentile" val="50"/>
        <cfvo type="max"/>
        <color rgb="FFF8696B"/>
        <color rgb="FFFFEB84"/>
        <color rgb="FF63BE7B"/>
      </colorScale>
    </cfRule>
  </conditionalFormatting>
  <conditionalFormatting sqref="E46:F46">
    <cfRule type="colorScale" priority="451">
      <colorScale>
        <cfvo type="min"/>
        <cfvo type="percentile" val="50"/>
        <cfvo type="max"/>
        <color rgb="FFF8696B"/>
        <color rgb="FFFFEB84"/>
        <color rgb="FF63BE7B"/>
      </colorScale>
    </cfRule>
  </conditionalFormatting>
  <conditionalFormatting sqref="E46:F46">
    <cfRule type="colorScale" priority="450">
      <colorScale>
        <cfvo type="min"/>
        <cfvo type="percentile" val="50"/>
        <cfvo type="max"/>
        <color rgb="FFF8696B"/>
        <color rgb="FFFFEB84"/>
        <color rgb="FF63BE7B"/>
      </colorScale>
    </cfRule>
  </conditionalFormatting>
  <conditionalFormatting sqref="E46:F46">
    <cfRule type="colorScale" priority="449">
      <colorScale>
        <cfvo type="min"/>
        <cfvo type="percentile" val="50"/>
        <cfvo type="max"/>
        <color rgb="FFF8696B"/>
        <color rgb="FFFFEB84"/>
        <color rgb="FF63BE7B"/>
      </colorScale>
    </cfRule>
  </conditionalFormatting>
  <conditionalFormatting sqref="E46:F46">
    <cfRule type="colorScale" priority="448">
      <colorScale>
        <cfvo type="min"/>
        <cfvo type="percentile" val="50"/>
        <cfvo type="max"/>
        <color rgb="FFF8696B"/>
        <color rgb="FFFFEB84"/>
        <color rgb="FF63BE7B"/>
      </colorScale>
    </cfRule>
  </conditionalFormatting>
  <conditionalFormatting sqref="E46:F46">
    <cfRule type="colorScale" priority="447">
      <colorScale>
        <cfvo type="min"/>
        <cfvo type="percentile" val="50"/>
        <cfvo type="max"/>
        <color rgb="FFF8696B"/>
        <color rgb="FFFFEB84"/>
        <color rgb="FF63BE7B"/>
      </colorScale>
    </cfRule>
  </conditionalFormatting>
  <conditionalFormatting sqref="G46:H46 G48:H48 G50:H50">
    <cfRule type="colorScale" priority="446">
      <colorScale>
        <cfvo type="min"/>
        <cfvo type="percentile" val="50"/>
        <cfvo type="max"/>
        <color rgb="FFF8696B"/>
        <color rgb="FFFFEB84"/>
        <color rgb="FF63BE7B"/>
      </colorScale>
    </cfRule>
  </conditionalFormatting>
  <conditionalFormatting sqref="G46:H46">
    <cfRule type="colorScale" priority="445">
      <colorScale>
        <cfvo type="min"/>
        <cfvo type="percentile" val="50"/>
        <cfvo type="max"/>
        <color rgb="FFF8696B"/>
        <color rgb="FFFFEB84"/>
        <color rgb="FF63BE7B"/>
      </colorScale>
    </cfRule>
  </conditionalFormatting>
  <conditionalFormatting sqref="G46:H46">
    <cfRule type="colorScale" priority="444">
      <colorScale>
        <cfvo type="min"/>
        <cfvo type="percentile" val="50"/>
        <cfvo type="max"/>
        <color rgb="FFF8696B"/>
        <color rgb="FFFFEB84"/>
        <color rgb="FF63BE7B"/>
      </colorScale>
    </cfRule>
  </conditionalFormatting>
  <conditionalFormatting sqref="G46:H46">
    <cfRule type="colorScale" priority="443">
      <colorScale>
        <cfvo type="min"/>
        <cfvo type="percentile" val="50"/>
        <cfvo type="max"/>
        <color rgb="FFF8696B"/>
        <color rgb="FFFFEB84"/>
        <color rgb="FF63BE7B"/>
      </colorScale>
    </cfRule>
  </conditionalFormatting>
  <conditionalFormatting sqref="G46:H46">
    <cfRule type="colorScale" priority="442">
      <colorScale>
        <cfvo type="min"/>
        <cfvo type="percentile" val="50"/>
        <cfvo type="max"/>
        <color rgb="FFF8696B"/>
        <color rgb="FFFFEB84"/>
        <color rgb="FF63BE7B"/>
      </colorScale>
    </cfRule>
  </conditionalFormatting>
  <conditionalFormatting sqref="G46:H46">
    <cfRule type="colorScale" priority="441">
      <colorScale>
        <cfvo type="min"/>
        <cfvo type="percentile" val="50"/>
        <cfvo type="max"/>
        <color rgb="FFF8696B"/>
        <color rgb="FFFFEB84"/>
        <color rgb="FF63BE7B"/>
      </colorScale>
    </cfRule>
  </conditionalFormatting>
  <conditionalFormatting sqref="G46:H46">
    <cfRule type="colorScale" priority="440">
      <colorScale>
        <cfvo type="min"/>
        <cfvo type="percentile" val="50"/>
        <cfvo type="max"/>
        <color rgb="FFF8696B"/>
        <color rgb="FFFFEB84"/>
        <color rgb="FF63BE7B"/>
      </colorScale>
    </cfRule>
  </conditionalFormatting>
  <conditionalFormatting sqref="G46:H46">
    <cfRule type="colorScale" priority="439">
      <colorScale>
        <cfvo type="min"/>
        <cfvo type="percentile" val="50"/>
        <cfvo type="max"/>
        <color rgb="FFF8696B"/>
        <color rgb="FFFFEB84"/>
        <color rgb="FF63BE7B"/>
      </colorScale>
    </cfRule>
  </conditionalFormatting>
  <conditionalFormatting sqref="G46:H46">
    <cfRule type="colorScale" priority="438">
      <colorScale>
        <cfvo type="min"/>
        <cfvo type="percentile" val="50"/>
        <cfvo type="max"/>
        <color rgb="FFF8696B"/>
        <color rgb="FFFFEB84"/>
        <color rgb="FF63BE7B"/>
      </colorScale>
    </cfRule>
  </conditionalFormatting>
  <conditionalFormatting sqref="G46:H46">
    <cfRule type="colorScale" priority="437">
      <colorScale>
        <cfvo type="min"/>
        <cfvo type="percentile" val="50"/>
        <cfvo type="max"/>
        <color rgb="FFF8696B"/>
        <color rgb="FFFFEB84"/>
        <color rgb="FF63BE7B"/>
      </colorScale>
    </cfRule>
  </conditionalFormatting>
  <conditionalFormatting sqref="G46:H46">
    <cfRule type="colorScale" priority="436">
      <colorScale>
        <cfvo type="min"/>
        <cfvo type="percentile" val="50"/>
        <cfvo type="max"/>
        <color rgb="FFF8696B"/>
        <color rgb="FFFFEB84"/>
        <color rgb="FF63BE7B"/>
      </colorScale>
    </cfRule>
  </conditionalFormatting>
  <conditionalFormatting sqref="G46:H46">
    <cfRule type="colorScale" priority="435">
      <colorScale>
        <cfvo type="min"/>
        <cfvo type="percentile" val="50"/>
        <cfvo type="max"/>
        <color rgb="FFF8696B"/>
        <color rgb="FFFFEB84"/>
        <color rgb="FF63BE7B"/>
      </colorScale>
    </cfRule>
  </conditionalFormatting>
  <conditionalFormatting sqref="G46:H46">
    <cfRule type="colorScale" priority="434">
      <colorScale>
        <cfvo type="min"/>
        <cfvo type="percentile" val="50"/>
        <cfvo type="max"/>
        <color rgb="FFF8696B"/>
        <color rgb="FFFFEB84"/>
        <color rgb="FF63BE7B"/>
      </colorScale>
    </cfRule>
  </conditionalFormatting>
  <conditionalFormatting sqref="G46:H46">
    <cfRule type="colorScale" priority="433">
      <colorScale>
        <cfvo type="min"/>
        <cfvo type="percentile" val="50"/>
        <cfvo type="max"/>
        <color rgb="FFF8696B"/>
        <color rgb="FFFFEB84"/>
        <color rgb="FF63BE7B"/>
      </colorScale>
    </cfRule>
  </conditionalFormatting>
  <conditionalFormatting sqref="I46:J46 I48:J48 I50:J50">
    <cfRule type="colorScale" priority="432">
      <colorScale>
        <cfvo type="min"/>
        <cfvo type="percentile" val="50"/>
        <cfvo type="max"/>
        <color rgb="FFF8696B"/>
        <color rgb="FFFFEB84"/>
        <color rgb="FF63BE7B"/>
      </colorScale>
    </cfRule>
  </conditionalFormatting>
  <conditionalFormatting sqref="I46:J46">
    <cfRule type="colorScale" priority="431">
      <colorScale>
        <cfvo type="min"/>
        <cfvo type="percentile" val="50"/>
        <cfvo type="max"/>
        <color rgb="FFF8696B"/>
        <color rgb="FFFFEB84"/>
        <color rgb="FF63BE7B"/>
      </colorScale>
    </cfRule>
  </conditionalFormatting>
  <conditionalFormatting sqref="I46:J46">
    <cfRule type="colorScale" priority="430">
      <colorScale>
        <cfvo type="min"/>
        <cfvo type="percentile" val="50"/>
        <cfvo type="max"/>
        <color rgb="FFF8696B"/>
        <color rgb="FFFFEB84"/>
        <color rgb="FF63BE7B"/>
      </colorScale>
    </cfRule>
  </conditionalFormatting>
  <conditionalFormatting sqref="I46:J46">
    <cfRule type="colorScale" priority="429">
      <colorScale>
        <cfvo type="min"/>
        <cfvo type="percentile" val="50"/>
        <cfvo type="max"/>
        <color rgb="FFF8696B"/>
        <color rgb="FFFFEB84"/>
        <color rgb="FF63BE7B"/>
      </colorScale>
    </cfRule>
  </conditionalFormatting>
  <conditionalFormatting sqref="I46:J46">
    <cfRule type="colorScale" priority="428">
      <colorScale>
        <cfvo type="min"/>
        <cfvo type="percentile" val="50"/>
        <cfvo type="max"/>
        <color rgb="FFF8696B"/>
        <color rgb="FFFFEB84"/>
        <color rgb="FF63BE7B"/>
      </colorScale>
    </cfRule>
  </conditionalFormatting>
  <conditionalFormatting sqref="I46:J46">
    <cfRule type="colorScale" priority="427">
      <colorScale>
        <cfvo type="min"/>
        <cfvo type="percentile" val="50"/>
        <cfvo type="max"/>
        <color rgb="FFF8696B"/>
        <color rgb="FFFFEB84"/>
        <color rgb="FF63BE7B"/>
      </colorScale>
    </cfRule>
  </conditionalFormatting>
  <conditionalFormatting sqref="I46:J46">
    <cfRule type="colorScale" priority="426">
      <colorScale>
        <cfvo type="min"/>
        <cfvo type="percentile" val="50"/>
        <cfvo type="max"/>
        <color rgb="FFF8696B"/>
        <color rgb="FFFFEB84"/>
        <color rgb="FF63BE7B"/>
      </colorScale>
    </cfRule>
  </conditionalFormatting>
  <conditionalFormatting sqref="I46:J46">
    <cfRule type="colorScale" priority="425">
      <colorScale>
        <cfvo type="min"/>
        <cfvo type="percentile" val="50"/>
        <cfvo type="max"/>
        <color rgb="FFF8696B"/>
        <color rgb="FFFFEB84"/>
        <color rgb="FF63BE7B"/>
      </colorScale>
    </cfRule>
  </conditionalFormatting>
  <conditionalFormatting sqref="I46:J46">
    <cfRule type="colorScale" priority="424">
      <colorScale>
        <cfvo type="min"/>
        <cfvo type="percentile" val="50"/>
        <cfvo type="max"/>
        <color rgb="FFF8696B"/>
        <color rgb="FFFFEB84"/>
        <color rgb="FF63BE7B"/>
      </colorScale>
    </cfRule>
  </conditionalFormatting>
  <conditionalFormatting sqref="I46:J46">
    <cfRule type="colorScale" priority="423">
      <colorScale>
        <cfvo type="min"/>
        <cfvo type="percentile" val="50"/>
        <cfvo type="max"/>
        <color rgb="FFF8696B"/>
        <color rgb="FFFFEB84"/>
        <color rgb="FF63BE7B"/>
      </colorScale>
    </cfRule>
  </conditionalFormatting>
  <conditionalFormatting sqref="I46:J46">
    <cfRule type="colorScale" priority="422">
      <colorScale>
        <cfvo type="min"/>
        <cfvo type="percentile" val="50"/>
        <cfvo type="max"/>
        <color rgb="FFF8696B"/>
        <color rgb="FFFFEB84"/>
        <color rgb="FF63BE7B"/>
      </colorScale>
    </cfRule>
  </conditionalFormatting>
  <conditionalFormatting sqref="I46:J46">
    <cfRule type="colorScale" priority="421">
      <colorScale>
        <cfvo type="min"/>
        <cfvo type="percentile" val="50"/>
        <cfvo type="max"/>
        <color rgb="FFF8696B"/>
        <color rgb="FFFFEB84"/>
        <color rgb="FF63BE7B"/>
      </colorScale>
    </cfRule>
  </conditionalFormatting>
  <conditionalFormatting sqref="I46:J46">
    <cfRule type="colorScale" priority="420">
      <colorScale>
        <cfvo type="min"/>
        <cfvo type="percentile" val="50"/>
        <cfvo type="max"/>
        <color rgb="FFF8696B"/>
        <color rgb="FFFFEB84"/>
        <color rgb="FF63BE7B"/>
      </colorScale>
    </cfRule>
  </conditionalFormatting>
  <conditionalFormatting sqref="I46:J46">
    <cfRule type="colorScale" priority="419">
      <colorScale>
        <cfvo type="min"/>
        <cfvo type="percentile" val="50"/>
        <cfvo type="max"/>
        <color rgb="FFF8696B"/>
        <color rgb="FFFFEB84"/>
        <color rgb="FF63BE7B"/>
      </colorScale>
    </cfRule>
  </conditionalFormatting>
  <conditionalFormatting sqref="E30:H30 E34:H34">
    <cfRule type="colorScale" priority="2292">
      <colorScale>
        <cfvo type="min"/>
        <cfvo type="percentile" val="50"/>
        <cfvo type="max"/>
        <color rgb="FFF8696B"/>
        <color rgb="FFFFEB84"/>
        <color rgb="FF63BE7B"/>
      </colorScale>
    </cfRule>
  </conditionalFormatting>
  <conditionalFormatting sqref="E32:F32">
    <cfRule type="colorScale" priority="76">
      <colorScale>
        <cfvo type="min"/>
        <cfvo type="percentile" val="50"/>
        <cfvo type="max"/>
        <color rgb="FFF8696B"/>
        <color rgb="FFFFEB84"/>
        <color rgb="FF63BE7B"/>
      </colorScale>
    </cfRule>
  </conditionalFormatting>
  <conditionalFormatting sqref="E32:F32">
    <cfRule type="colorScale" priority="75">
      <colorScale>
        <cfvo type="min"/>
        <cfvo type="percentile" val="50"/>
        <cfvo type="max"/>
        <color rgb="FFF8696B"/>
        <color rgb="FFFFEB84"/>
        <color rgb="FF63BE7B"/>
      </colorScale>
    </cfRule>
  </conditionalFormatting>
  <conditionalFormatting sqref="E32:F32">
    <cfRule type="colorScale" priority="74">
      <colorScale>
        <cfvo type="min"/>
        <cfvo type="percentile" val="50"/>
        <cfvo type="max"/>
        <color rgb="FFF8696B"/>
        <color rgb="FFFFEB84"/>
        <color rgb="FF63BE7B"/>
      </colorScale>
    </cfRule>
  </conditionalFormatting>
  <conditionalFormatting sqref="E32:F32">
    <cfRule type="colorScale" priority="73">
      <colorScale>
        <cfvo type="min"/>
        <cfvo type="percentile" val="50"/>
        <cfvo type="max"/>
        <color rgb="FFF8696B"/>
        <color rgb="FFFFEB84"/>
        <color rgb="FF63BE7B"/>
      </colorScale>
    </cfRule>
  </conditionalFormatting>
  <conditionalFormatting sqref="E32:F32">
    <cfRule type="colorScale" priority="72">
      <colorScale>
        <cfvo type="min"/>
        <cfvo type="percentile" val="50"/>
        <cfvo type="max"/>
        <color rgb="FFF8696B"/>
        <color rgb="FFFFEB84"/>
        <color rgb="FF63BE7B"/>
      </colorScale>
    </cfRule>
  </conditionalFormatting>
  <conditionalFormatting sqref="E32:F32">
    <cfRule type="colorScale" priority="71">
      <colorScale>
        <cfvo type="min"/>
        <cfvo type="percentile" val="50"/>
        <cfvo type="max"/>
        <color rgb="FFF8696B"/>
        <color rgb="FFFFEB84"/>
        <color rgb="FF63BE7B"/>
      </colorScale>
    </cfRule>
  </conditionalFormatting>
  <conditionalFormatting sqref="E32:F32">
    <cfRule type="colorScale" priority="70">
      <colorScale>
        <cfvo type="min"/>
        <cfvo type="percentile" val="50"/>
        <cfvo type="max"/>
        <color rgb="FFF8696B"/>
        <color rgb="FFFFEB84"/>
        <color rgb="FF63BE7B"/>
      </colorScale>
    </cfRule>
  </conditionalFormatting>
  <conditionalFormatting sqref="E32:F32">
    <cfRule type="colorScale" priority="69">
      <colorScale>
        <cfvo type="min"/>
        <cfvo type="percentile" val="50"/>
        <cfvo type="max"/>
        <color rgb="FFF8696B"/>
        <color rgb="FFFFEB84"/>
        <color rgb="FF63BE7B"/>
      </colorScale>
    </cfRule>
  </conditionalFormatting>
  <conditionalFormatting sqref="E32:F32">
    <cfRule type="colorScale" priority="68">
      <colorScale>
        <cfvo type="min"/>
        <cfvo type="percentile" val="50"/>
        <cfvo type="max"/>
        <color rgb="FFF8696B"/>
        <color rgb="FFFFEB84"/>
        <color rgb="FF63BE7B"/>
      </colorScale>
    </cfRule>
  </conditionalFormatting>
  <conditionalFormatting sqref="G32:H32">
    <cfRule type="colorScale" priority="67">
      <colorScale>
        <cfvo type="min"/>
        <cfvo type="percentile" val="50"/>
        <cfvo type="max"/>
        <color rgb="FFF8696B"/>
        <color rgb="FFFFEB84"/>
        <color rgb="FF63BE7B"/>
      </colorScale>
    </cfRule>
  </conditionalFormatting>
  <conditionalFormatting sqref="G32:H32">
    <cfRule type="colorScale" priority="66">
      <colorScale>
        <cfvo type="min"/>
        <cfvo type="percentile" val="50"/>
        <cfvo type="max"/>
        <color rgb="FFF8696B"/>
        <color rgb="FFFFEB84"/>
        <color rgb="FF63BE7B"/>
      </colorScale>
    </cfRule>
  </conditionalFormatting>
  <conditionalFormatting sqref="G32:H32">
    <cfRule type="colorScale" priority="65">
      <colorScale>
        <cfvo type="min"/>
        <cfvo type="percentile" val="50"/>
        <cfvo type="max"/>
        <color rgb="FFF8696B"/>
        <color rgb="FFFFEB84"/>
        <color rgb="FF63BE7B"/>
      </colorScale>
    </cfRule>
  </conditionalFormatting>
  <conditionalFormatting sqref="G32:H32">
    <cfRule type="colorScale" priority="64">
      <colorScale>
        <cfvo type="min"/>
        <cfvo type="percentile" val="50"/>
        <cfvo type="max"/>
        <color rgb="FFF8696B"/>
        <color rgb="FFFFEB84"/>
        <color rgb="FF63BE7B"/>
      </colorScale>
    </cfRule>
  </conditionalFormatting>
  <conditionalFormatting sqref="G32:H32">
    <cfRule type="colorScale" priority="63">
      <colorScale>
        <cfvo type="min"/>
        <cfvo type="percentile" val="50"/>
        <cfvo type="max"/>
        <color rgb="FFF8696B"/>
        <color rgb="FFFFEB84"/>
        <color rgb="FF63BE7B"/>
      </colorScale>
    </cfRule>
  </conditionalFormatting>
  <conditionalFormatting sqref="G32:H32">
    <cfRule type="colorScale" priority="62">
      <colorScale>
        <cfvo type="min"/>
        <cfvo type="percentile" val="50"/>
        <cfvo type="max"/>
        <color rgb="FFF8696B"/>
        <color rgb="FFFFEB84"/>
        <color rgb="FF63BE7B"/>
      </colorScale>
    </cfRule>
  </conditionalFormatting>
  <conditionalFormatting sqref="G32:H32">
    <cfRule type="colorScale" priority="61">
      <colorScale>
        <cfvo type="min"/>
        <cfvo type="percentile" val="50"/>
        <cfvo type="max"/>
        <color rgb="FFF8696B"/>
        <color rgb="FFFFEB84"/>
        <color rgb="FF63BE7B"/>
      </colorScale>
    </cfRule>
  </conditionalFormatting>
  <conditionalFormatting sqref="G32:H32">
    <cfRule type="colorScale" priority="60">
      <colorScale>
        <cfvo type="min"/>
        <cfvo type="percentile" val="50"/>
        <cfvo type="max"/>
        <color rgb="FFF8696B"/>
        <color rgb="FFFFEB84"/>
        <color rgb="FF63BE7B"/>
      </colorScale>
    </cfRule>
  </conditionalFormatting>
  <conditionalFormatting sqref="I32:J32">
    <cfRule type="colorScale" priority="59">
      <colorScale>
        <cfvo type="min"/>
        <cfvo type="percentile" val="50"/>
        <cfvo type="max"/>
        <color rgb="FFF8696B"/>
        <color rgb="FFFFEB84"/>
        <color rgb="FF63BE7B"/>
      </colorScale>
    </cfRule>
  </conditionalFormatting>
  <conditionalFormatting sqref="I32:J32">
    <cfRule type="colorScale" priority="58">
      <colorScale>
        <cfvo type="min"/>
        <cfvo type="percentile" val="50"/>
        <cfvo type="max"/>
        <color rgb="FFF8696B"/>
        <color rgb="FFFFEB84"/>
        <color rgb="FF63BE7B"/>
      </colorScale>
    </cfRule>
  </conditionalFormatting>
  <conditionalFormatting sqref="I32:J32">
    <cfRule type="colorScale" priority="57">
      <colorScale>
        <cfvo type="min"/>
        <cfvo type="percentile" val="50"/>
        <cfvo type="max"/>
        <color rgb="FFF8696B"/>
        <color rgb="FFFFEB84"/>
        <color rgb="FF63BE7B"/>
      </colorScale>
    </cfRule>
  </conditionalFormatting>
  <conditionalFormatting sqref="I32:J32">
    <cfRule type="colorScale" priority="56">
      <colorScale>
        <cfvo type="min"/>
        <cfvo type="percentile" val="50"/>
        <cfvo type="max"/>
        <color rgb="FFF8696B"/>
        <color rgb="FFFFEB84"/>
        <color rgb="FF63BE7B"/>
      </colorScale>
    </cfRule>
  </conditionalFormatting>
  <conditionalFormatting sqref="I32:J32">
    <cfRule type="colorScale" priority="55">
      <colorScale>
        <cfvo type="min"/>
        <cfvo type="percentile" val="50"/>
        <cfvo type="max"/>
        <color rgb="FFF8696B"/>
        <color rgb="FFFFEB84"/>
        <color rgb="FF63BE7B"/>
      </colorScale>
    </cfRule>
  </conditionalFormatting>
  <conditionalFormatting sqref="I32:J32">
    <cfRule type="colorScale" priority="54">
      <colorScale>
        <cfvo type="min"/>
        <cfvo type="percentile" val="50"/>
        <cfvo type="max"/>
        <color rgb="FFF8696B"/>
        <color rgb="FFFFEB84"/>
        <color rgb="FF63BE7B"/>
      </colorScale>
    </cfRule>
  </conditionalFormatting>
  <conditionalFormatting sqref="I32:J32">
    <cfRule type="colorScale" priority="53">
      <colorScale>
        <cfvo type="min"/>
        <cfvo type="percentile" val="50"/>
        <cfvo type="max"/>
        <color rgb="FFF8696B"/>
        <color rgb="FFFFEB84"/>
        <color rgb="FF63BE7B"/>
      </colorScale>
    </cfRule>
  </conditionalFormatting>
  <conditionalFormatting sqref="I32:J32">
    <cfRule type="colorScale" priority="52">
      <colorScale>
        <cfvo type="min"/>
        <cfvo type="percentile" val="50"/>
        <cfvo type="max"/>
        <color rgb="FFF8696B"/>
        <color rgb="FFFFEB84"/>
        <color rgb="FF63BE7B"/>
      </colorScale>
    </cfRule>
  </conditionalFormatting>
  <conditionalFormatting sqref="I32:J32">
    <cfRule type="colorScale" priority="51">
      <colorScale>
        <cfvo type="min"/>
        <cfvo type="percentile" val="50"/>
        <cfvo type="max"/>
        <color rgb="FFF8696B"/>
        <color rgb="FFFFEB84"/>
        <color rgb="FF63BE7B"/>
      </colorScale>
    </cfRule>
  </conditionalFormatting>
  <conditionalFormatting sqref="E8:J8">
    <cfRule type="colorScale" priority="21">
      <colorScale>
        <cfvo type="min"/>
        <cfvo type="percentile" val="50"/>
        <cfvo type="max"/>
        <color rgb="FFF8696B"/>
        <color rgb="FFFFEB84"/>
        <color rgb="FF63BE7B"/>
      </colorScale>
    </cfRule>
  </conditionalFormatting>
  <conditionalFormatting sqref="E10:J10">
    <cfRule type="colorScale" priority="20">
      <colorScale>
        <cfvo type="min"/>
        <cfvo type="percentile" val="50"/>
        <cfvo type="max"/>
        <color rgb="FFF8696B"/>
        <color rgb="FFFFEB84"/>
        <color rgb="FF63BE7B"/>
      </colorScale>
    </cfRule>
  </conditionalFormatting>
  <conditionalFormatting sqref="E12:J12">
    <cfRule type="colorScale" priority="19">
      <colorScale>
        <cfvo type="min"/>
        <cfvo type="percentile" val="50"/>
        <cfvo type="max"/>
        <color rgb="FFF8696B"/>
        <color rgb="FFFFEB84"/>
        <color rgb="FF63BE7B"/>
      </colorScale>
    </cfRule>
  </conditionalFormatting>
  <conditionalFormatting sqref="E8:J8">
    <cfRule type="colorScale" priority="2466">
      <colorScale>
        <cfvo type="min"/>
        <cfvo type="percentile" val="50"/>
        <cfvo type="max"/>
        <color rgb="FF63BE7B"/>
        <color rgb="FFFFEB84"/>
        <color rgb="FFF8696B"/>
      </colorScale>
    </cfRule>
  </conditionalFormatting>
  <conditionalFormatting sqref="E14:J14">
    <cfRule type="colorScale" priority="2467">
      <colorScale>
        <cfvo type="min"/>
        <cfvo type="percentile" val="50"/>
        <cfvo type="max"/>
        <color rgb="FFF8696B"/>
        <color rgb="FFFFEB84"/>
        <color rgb="FF63BE7B"/>
      </colorScale>
    </cfRule>
  </conditionalFormatting>
  <conditionalFormatting sqref="E16:J16">
    <cfRule type="colorScale" priority="18">
      <colorScale>
        <cfvo type="min"/>
        <cfvo type="percentile" val="50"/>
        <cfvo type="max"/>
        <color rgb="FFF8696B"/>
        <color rgb="FFFFEB84"/>
        <color rgb="FF63BE7B"/>
      </colorScale>
    </cfRule>
  </conditionalFormatting>
  <conditionalFormatting sqref="E18:J18">
    <cfRule type="colorScale" priority="17">
      <colorScale>
        <cfvo type="min"/>
        <cfvo type="percentile" val="50"/>
        <cfvo type="max"/>
        <color rgb="FFF8696B"/>
        <color rgb="FFFFEB84"/>
        <color rgb="FF63BE7B"/>
      </colorScale>
    </cfRule>
  </conditionalFormatting>
  <conditionalFormatting sqref="E20:J20">
    <cfRule type="colorScale" priority="16">
      <colorScale>
        <cfvo type="min"/>
        <cfvo type="percentile" val="50"/>
        <cfvo type="max"/>
        <color rgb="FFF8696B"/>
        <color rgb="FFFFEB84"/>
        <color rgb="FF63BE7B"/>
      </colorScale>
    </cfRule>
  </conditionalFormatting>
  <conditionalFormatting sqref="E22:J22 E24:J24">
    <cfRule type="colorScale" priority="2471">
      <colorScale>
        <cfvo type="min"/>
        <cfvo type="percentile" val="50"/>
        <cfvo type="max"/>
        <color rgb="FFF8696B"/>
        <color rgb="FFFFEB84"/>
        <color rgb="FF63BE7B"/>
      </colorScale>
    </cfRule>
  </conditionalFormatting>
  <conditionalFormatting sqref="E26:J26">
    <cfRule type="colorScale" priority="13">
      <colorScale>
        <cfvo type="min"/>
        <cfvo type="percentile" val="50"/>
        <cfvo type="max"/>
        <color rgb="FFF8696B"/>
        <color rgb="FFFFEB84"/>
        <color rgb="FF63BE7B"/>
      </colorScale>
    </cfRule>
  </conditionalFormatting>
  <conditionalFormatting sqref="E28:J28">
    <cfRule type="colorScale" priority="12">
      <colorScale>
        <cfvo type="min"/>
        <cfvo type="percentile" val="50"/>
        <cfvo type="max"/>
        <color rgb="FFF8696B"/>
        <color rgb="FFFFEB84"/>
        <color rgb="FF63BE7B"/>
      </colorScale>
    </cfRule>
  </conditionalFormatting>
  <conditionalFormatting sqref="E36:J36">
    <cfRule type="colorScale" priority="8">
      <colorScale>
        <cfvo type="min"/>
        <cfvo type="percentile" val="50"/>
        <cfvo type="max"/>
        <color rgb="FFF8696B"/>
        <color rgb="FFFFEB84"/>
        <color rgb="FF63BE7B"/>
      </colorScale>
    </cfRule>
  </conditionalFormatting>
  <conditionalFormatting sqref="E38:J38">
    <cfRule type="colorScale" priority="7">
      <colorScale>
        <cfvo type="min"/>
        <cfvo type="percentile" val="50"/>
        <cfvo type="max"/>
        <color rgb="FFF8696B"/>
        <color rgb="FFFFEB84"/>
        <color rgb="FF63BE7B"/>
      </colorScale>
    </cfRule>
  </conditionalFormatting>
  <conditionalFormatting sqref="E40:J40">
    <cfRule type="colorScale" priority="6">
      <colorScale>
        <cfvo type="min"/>
        <cfvo type="percentile" val="50"/>
        <cfvo type="max"/>
        <color rgb="FFF8696B"/>
        <color rgb="FFFFEB84"/>
        <color rgb="FF63BE7B"/>
      </colorScale>
    </cfRule>
  </conditionalFormatting>
  <conditionalFormatting sqref="E42:J42">
    <cfRule type="colorScale" priority="5">
      <colorScale>
        <cfvo type="min"/>
        <cfvo type="percentile" val="50"/>
        <cfvo type="max"/>
        <color rgb="FFF8696B"/>
        <color rgb="FFFFEB84"/>
        <color rgb="FF63BE7B"/>
      </colorScale>
    </cfRule>
  </conditionalFormatting>
  <conditionalFormatting sqref="E44:J44">
    <cfRule type="colorScale" priority="4">
      <colorScale>
        <cfvo type="min"/>
        <cfvo type="percentile" val="50"/>
        <cfvo type="max"/>
        <color rgb="FFF8696B"/>
        <color rgb="FFFFEB84"/>
        <color rgb="FF63BE7B"/>
      </colorScale>
    </cfRule>
  </conditionalFormatting>
  <conditionalFormatting sqref="E46:J46 E48:J48 E50:J50">
    <cfRule type="colorScale" priority="2480">
      <colorScale>
        <cfvo type="min"/>
        <cfvo type="percentile" val="50"/>
        <cfvo type="max"/>
        <color rgb="FFF8696B"/>
        <color rgb="FFFFEB84"/>
        <color rgb="FF63BE7B"/>
      </colorScale>
    </cfRule>
  </conditionalFormatting>
  <conditionalFormatting sqref="E30:J30 E34:J34">
    <cfRule type="colorScale" priority="2483">
      <colorScale>
        <cfvo type="min"/>
        <cfvo type="percentile" val="50"/>
        <cfvo type="max"/>
        <color rgb="FFF8696B"/>
        <color rgb="FFFFEB84"/>
        <color rgb="FF63BE7B"/>
      </colorScale>
    </cfRule>
  </conditionalFormatting>
  <conditionalFormatting sqref="E32:J32">
    <cfRule type="colorScale" priority="10">
      <colorScale>
        <cfvo type="min"/>
        <cfvo type="percentile" val="50"/>
        <cfvo type="max"/>
        <color rgb="FFF8696B"/>
        <color rgb="FFFFEB84"/>
        <color rgb="FF63BE7B"/>
      </colorScale>
    </cfRule>
  </conditionalFormatting>
  <conditionalFormatting sqref="E30:J30">
    <cfRule type="colorScale" priority="11">
      <colorScale>
        <cfvo type="min"/>
        <cfvo type="percentile" val="50"/>
        <cfvo type="max"/>
        <color rgb="FFF8696B"/>
        <color rgb="FFFFEB84"/>
        <color rgb="FF63BE7B"/>
      </colorScale>
    </cfRule>
  </conditionalFormatting>
  <conditionalFormatting sqref="E34:J34">
    <cfRule type="colorScale" priority="9">
      <colorScale>
        <cfvo type="min"/>
        <cfvo type="percentile" val="50"/>
        <cfvo type="max"/>
        <color rgb="FFF8696B"/>
        <color rgb="FFFFEB84"/>
        <color rgb="FF63BE7B"/>
      </colorScale>
    </cfRule>
  </conditionalFormatting>
  <conditionalFormatting sqref="E46:J46">
    <cfRule type="colorScale" priority="3">
      <colorScale>
        <cfvo type="min"/>
        <cfvo type="percentile" val="50"/>
        <cfvo type="max"/>
        <color rgb="FFF8696B"/>
        <color rgb="FFFFEB84"/>
        <color rgb="FF63BE7B"/>
      </colorScale>
    </cfRule>
  </conditionalFormatting>
  <conditionalFormatting sqref="E48:J48">
    <cfRule type="colorScale" priority="2">
      <colorScale>
        <cfvo type="min"/>
        <cfvo type="percentile" val="50"/>
        <cfvo type="max"/>
        <color rgb="FFF8696B"/>
        <color rgb="FFFFEB84"/>
        <color rgb="FF63BE7B"/>
      </colorScale>
    </cfRule>
  </conditionalFormatting>
  <conditionalFormatting sqref="E50:J50">
    <cfRule type="colorScale" priority="1">
      <colorScale>
        <cfvo type="min"/>
        <cfvo type="percentile" val="50"/>
        <cfvo type="max"/>
        <color rgb="FFF8696B"/>
        <color rgb="FFFFEB84"/>
        <color rgb="FF63BE7B"/>
      </colorScale>
    </cfRule>
  </conditionalFormatting>
  <conditionalFormatting sqref="E22:J22">
    <cfRule type="colorScale" priority="15">
      <colorScale>
        <cfvo type="min"/>
        <cfvo type="percentile" val="50"/>
        <cfvo type="max"/>
        <color rgb="FFF8696B"/>
        <color rgb="FFFFEB84"/>
        <color rgb="FF63BE7B"/>
      </colorScale>
    </cfRule>
  </conditionalFormatting>
  <conditionalFormatting sqref="E24:J24">
    <cfRule type="colorScale" priority="14">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7">
    <tabColor theme="2" tint="-0.749992370372631"/>
  </sheetPr>
  <dimension ref="A2:J81"/>
  <sheetViews>
    <sheetView zoomScaleNormal="100" workbookViewId="0">
      <selection activeCell="K27" sqref="K27"/>
    </sheetView>
  </sheetViews>
  <sheetFormatPr baseColWidth="10" defaultColWidth="11.54296875" defaultRowHeight="12.5"/>
  <cols>
    <col min="1" max="8" width="11.54296875" style="3"/>
    <col min="9" max="9" width="0" style="3" hidden="1" customWidth="1"/>
    <col min="10" max="16384" width="11.54296875" style="3"/>
  </cols>
  <sheetData>
    <row r="2" spans="1:9" ht="37.5">
      <c r="E2" s="3" t="str">
        <f>'1. Criteria'!C5</f>
        <v>Anarobic digester and CHP</v>
      </c>
      <c r="F2" s="3" t="str">
        <f>'1. Criteria'!C6</f>
        <v>PV</v>
      </c>
      <c r="G2" s="3" t="str">
        <f>'1. Criteria'!C7</f>
        <v>Stand-alone DG</v>
      </c>
    </row>
    <row r="3" spans="1:9">
      <c r="B3" s="3" t="s">
        <v>0</v>
      </c>
      <c r="C3" s="3">
        <f>IF('1. Criteria'!F13="Y",'2. &amp; 3. Weighting'!$E$15,0)</f>
        <v>1</v>
      </c>
      <c r="D3" s="3" t="s">
        <v>99</v>
      </c>
      <c r="E3" s="49">
        <f>Normalization!E8</f>
        <v>0</v>
      </c>
      <c r="F3" s="49">
        <f>Normalization!G8</f>
        <v>1</v>
      </c>
      <c r="G3" s="49">
        <f>Normalization!I8</f>
        <v>0.95462101348688178</v>
      </c>
    </row>
    <row r="4" spans="1:9" ht="50">
      <c r="D4" s="3" t="s">
        <v>120</v>
      </c>
      <c r="E4" s="49">
        <f>$C$3*E3</f>
        <v>0</v>
      </c>
      <c r="F4" s="49">
        <f>$C$3*F3</f>
        <v>1</v>
      </c>
      <c r="G4" s="49">
        <f>$C$3*G3</f>
        <v>0.95462101348688178</v>
      </c>
      <c r="I4" s="139" t="s">
        <v>377</v>
      </c>
    </row>
    <row r="5" spans="1:9">
      <c r="B5" s="3" t="s">
        <v>89</v>
      </c>
      <c r="C5" s="3">
        <f>IF('1. Criteria'!F14="Y",'2. &amp; 3. Weighting'!$F$15,0)</f>
        <v>1</v>
      </c>
      <c r="D5" s="3" t="s">
        <v>99</v>
      </c>
      <c r="E5" s="49">
        <f>Normalization!E10</f>
        <v>1</v>
      </c>
      <c r="F5" s="49">
        <f>Normalization!G10</f>
        <v>1</v>
      </c>
      <c r="G5" s="49">
        <f>Normalization!I10</f>
        <v>0</v>
      </c>
    </row>
    <row r="6" spans="1:9">
      <c r="D6" s="3" t="s">
        <v>120</v>
      </c>
      <c r="E6" s="49">
        <f>$C$5*E5</f>
        <v>1</v>
      </c>
      <c r="F6" s="49">
        <f>$C$5*F5</f>
        <v>1</v>
      </c>
      <c r="G6" s="49">
        <f>$C$5*G5</f>
        <v>0</v>
      </c>
    </row>
    <row r="7" spans="1:9">
      <c r="B7" s="3" t="s">
        <v>90</v>
      </c>
      <c r="C7" s="3">
        <f>IF('1. Criteria'!F15="Y",'2. &amp; 3. Weighting'!$G$15,0)</f>
        <v>1</v>
      </c>
      <c r="D7" s="3" t="s">
        <v>99</v>
      </c>
      <c r="E7" s="49">
        <f>Normalization!E12</f>
        <v>1</v>
      </c>
      <c r="F7" s="49">
        <f>Normalization!G12</f>
        <v>0.86673035821571742</v>
      </c>
      <c r="G7" s="49">
        <f>Normalization!I12</f>
        <v>0</v>
      </c>
    </row>
    <row r="8" spans="1:9" ht="14.5" customHeight="1">
      <c r="D8" s="3" t="s">
        <v>120</v>
      </c>
      <c r="E8" s="49">
        <f>$C$7*E7</f>
        <v>1</v>
      </c>
      <c r="F8" s="49">
        <f>$C$7*F7</f>
        <v>0.86673035821571742</v>
      </c>
      <c r="G8" s="49">
        <f>$C$7*G7</f>
        <v>0</v>
      </c>
    </row>
    <row r="9" spans="1:9">
      <c r="B9" s="3" t="s">
        <v>81</v>
      </c>
      <c r="C9" s="3">
        <f>IF('1. Criteria'!F16="Y",'2. &amp; 3. Weighting'!$H$15,0)</f>
        <v>0</v>
      </c>
      <c r="D9" s="3" t="s">
        <v>99</v>
      </c>
      <c r="E9" s="49">
        <f>Normalization!E14</f>
        <v>0.97647058823529409</v>
      </c>
      <c r="F9" s="49">
        <f>Normalization!G14</f>
        <v>1</v>
      </c>
      <c r="G9" s="49">
        <f>Normalization!I14</f>
        <v>0</v>
      </c>
    </row>
    <row r="10" spans="1:9" ht="13.9" customHeight="1">
      <c r="D10" s="3" t="s">
        <v>120</v>
      </c>
      <c r="E10" s="49">
        <f>$C$9*E9</f>
        <v>0</v>
      </c>
      <c r="F10" s="49">
        <f>$C$9*F9</f>
        <v>0</v>
      </c>
      <c r="G10" s="49">
        <f>$C$9*G9</f>
        <v>0</v>
      </c>
    </row>
    <row r="11" spans="1:9" ht="13.9" customHeight="1">
      <c r="B11" s="3" t="s">
        <v>77</v>
      </c>
      <c r="C11" s="3">
        <f>IF('1. Criteria'!F17="Y",'2. &amp; 3. Weighting'!$I$15,0)</f>
        <v>1</v>
      </c>
      <c r="D11" s="3" t="s">
        <v>99</v>
      </c>
      <c r="E11" s="49">
        <f>Normalization!E16</f>
        <v>1</v>
      </c>
      <c r="F11" s="49">
        <f>Normalization!G16</f>
        <v>0</v>
      </c>
      <c r="G11" s="49">
        <f>Normalization!I16</f>
        <v>0.42416666666666669</v>
      </c>
    </row>
    <row r="12" spans="1:9" ht="13.9" customHeight="1">
      <c r="D12" s="3" t="s">
        <v>120</v>
      </c>
      <c r="E12" s="49">
        <f>$C$11*E11</f>
        <v>1</v>
      </c>
      <c r="F12" s="49">
        <f>$C$11*F11</f>
        <v>0</v>
      </c>
      <c r="G12" s="49">
        <f>$C$11*G11</f>
        <v>0.42416666666666669</v>
      </c>
    </row>
    <row r="13" spans="1:9" ht="13.9" customHeight="1">
      <c r="B13" s="3" t="s">
        <v>78</v>
      </c>
      <c r="C13" s="3">
        <f>IF('1. Criteria'!F18="Y",'2. &amp; 3. Weighting'!$J$15,0)</f>
        <v>0</v>
      </c>
      <c r="D13" s="3" t="s">
        <v>99</v>
      </c>
      <c r="E13" s="49">
        <f>Normalization!E18</f>
        <v>0.29166666666666669</v>
      </c>
      <c r="F13" s="49">
        <f>Normalization!G18</f>
        <v>1</v>
      </c>
      <c r="G13" s="49">
        <f>Normalization!I18</f>
        <v>0</v>
      </c>
    </row>
    <row r="14" spans="1:9" ht="15" customHeight="1">
      <c r="A14" s="3">
        <v>1</v>
      </c>
      <c r="D14" s="3" t="s">
        <v>120</v>
      </c>
      <c r="E14" s="49">
        <f>$C$13*E13</f>
        <v>0</v>
      </c>
      <c r="F14" s="49">
        <f>$C$13*F13</f>
        <v>0</v>
      </c>
      <c r="G14" s="49">
        <f>$C$13*G13</f>
        <v>0</v>
      </c>
    </row>
    <row r="15" spans="1:9" ht="13.9" customHeight="1">
      <c r="A15" s="3">
        <v>2</v>
      </c>
      <c r="B15" s="3" t="s">
        <v>80</v>
      </c>
      <c r="C15" s="3">
        <f>IF('1. Criteria'!F19="Y",'2. &amp; 3. Weighting'!$K$15,0)</f>
        <v>1</v>
      </c>
      <c r="D15" s="3" t="s">
        <v>99</v>
      </c>
      <c r="E15" s="49">
        <f>Normalization!E20</f>
        <v>0</v>
      </c>
      <c r="F15" s="49">
        <f>Normalization!G20</f>
        <v>0.33333333333333331</v>
      </c>
      <c r="G15" s="49">
        <f>Normalization!I20</f>
        <v>1</v>
      </c>
    </row>
    <row r="16" spans="1:9" ht="13.9" customHeight="1">
      <c r="A16" s="3">
        <v>3</v>
      </c>
      <c r="D16" s="3" t="s">
        <v>120</v>
      </c>
      <c r="E16" s="49">
        <f>$C$15*E15</f>
        <v>0</v>
      </c>
      <c r="F16" s="49">
        <f>$C$15*F15</f>
        <v>0.33333333333333331</v>
      </c>
      <c r="G16" s="49">
        <f>$C$15*G15</f>
        <v>1</v>
      </c>
    </row>
    <row r="17" spans="2:7">
      <c r="B17" s="3" t="s">
        <v>79</v>
      </c>
      <c r="C17" s="3">
        <f>IF('1. Criteria'!F20="Y",'2. &amp; 3. Weighting'!$L$15,0)</f>
        <v>1</v>
      </c>
      <c r="D17" s="3" t="s">
        <v>99</v>
      </c>
      <c r="E17" s="49">
        <f>Normalization!E22</f>
        <v>0.79220779220779214</v>
      </c>
      <c r="F17" s="49">
        <f>Normalization!G22</f>
        <v>0</v>
      </c>
      <c r="G17" s="49">
        <f>Normalization!I22</f>
        <v>1</v>
      </c>
    </row>
    <row r="18" spans="2:7" ht="15" customHeight="1">
      <c r="D18" s="3" t="s">
        <v>120</v>
      </c>
      <c r="E18" s="49">
        <f>$C$17*E17</f>
        <v>0.79220779220779214</v>
      </c>
      <c r="F18" s="49">
        <f>$C$17*F17</f>
        <v>0</v>
      </c>
      <c r="G18" s="49">
        <f>$C$17*G17</f>
        <v>1</v>
      </c>
    </row>
    <row r="19" spans="2:7" ht="15" customHeight="1">
      <c r="B19" s="3" t="s">
        <v>261</v>
      </c>
      <c r="C19" s="3">
        <f>IF('1. Criteria'!F21="Y",'2. &amp; 3. Weighting'!$M$15,0)</f>
        <v>1</v>
      </c>
      <c r="D19" s="3" t="s">
        <v>99</v>
      </c>
      <c r="E19" s="49">
        <f>Normalization!E24</f>
        <v>1</v>
      </c>
      <c r="F19" s="49">
        <f>Normalization!G24</f>
        <v>0</v>
      </c>
      <c r="G19" s="49">
        <f>Normalization!I24</f>
        <v>0</v>
      </c>
    </row>
    <row r="20" spans="2:7" ht="15" customHeight="1">
      <c r="D20" s="3" t="s">
        <v>120</v>
      </c>
      <c r="E20" s="49">
        <f>$C$17*E19</f>
        <v>1</v>
      </c>
      <c r="F20" s="49">
        <f>$C$17*F19</f>
        <v>0</v>
      </c>
      <c r="G20" s="49">
        <f>$C$17*G19</f>
        <v>0</v>
      </c>
    </row>
    <row r="21" spans="2:7">
      <c r="B21" s="3" t="s">
        <v>114</v>
      </c>
      <c r="C21" s="3">
        <f>IF('1. Criteria'!F22="Y",'2. &amp; 3. Weighting'!$N$15,0)</f>
        <v>1</v>
      </c>
      <c r="D21" s="3" t="s">
        <v>99</v>
      </c>
      <c r="E21" s="49">
        <f>Normalization!E26</f>
        <v>0</v>
      </c>
      <c r="F21" s="49">
        <f>Normalization!G26</f>
        <v>1</v>
      </c>
      <c r="G21" s="49">
        <f>Normalization!I26</f>
        <v>0</v>
      </c>
    </row>
    <row r="22" spans="2:7" ht="15" customHeight="1">
      <c r="D22" s="3" t="s">
        <v>120</v>
      </c>
      <c r="E22" s="49">
        <f>$C$21*E21</f>
        <v>0</v>
      </c>
      <c r="F22" s="49">
        <f>$C$21*F21</f>
        <v>1</v>
      </c>
      <c r="G22" s="49">
        <f>$C$21*G21</f>
        <v>0</v>
      </c>
    </row>
    <row r="23" spans="2:7">
      <c r="B23" s="3" t="s">
        <v>115</v>
      </c>
      <c r="C23" s="3">
        <f>IF('1. Criteria'!F23="Y",'2. &amp; 3. Weighting'!$O$15,0)</f>
        <v>1</v>
      </c>
      <c r="D23" s="3" t="s">
        <v>99</v>
      </c>
      <c r="E23" s="49">
        <f>Normalization!E28</f>
        <v>1</v>
      </c>
      <c r="F23" s="49">
        <f>Normalization!G28</f>
        <v>0</v>
      </c>
      <c r="G23" s="49">
        <f>Normalization!I28</f>
        <v>1</v>
      </c>
    </row>
    <row r="24" spans="2:7" ht="15" customHeight="1">
      <c r="D24" s="3" t="s">
        <v>120</v>
      </c>
      <c r="E24" s="49">
        <f>$C$23*E23</f>
        <v>1</v>
      </c>
      <c r="F24" s="49">
        <f>$C$23*F23</f>
        <v>0</v>
      </c>
      <c r="G24" s="49">
        <f>$C$23*G23</f>
        <v>1</v>
      </c>
    </row>
    <row r="25" spans="2:7">
      <c r="B25" s="3" t="s">
        <v>117</v>
      </c>
      <c r="C25" s="3">
        <f>IF('1. Criteria'!F24="Y",'2. &amp; 3. Weighting'!$P$15,0)</f>
        <v>1</v>
      </c>
      <c r="D25" s="3" t="s">
        <v>99</v>
      </c>
      <c r="E25" s="49">
        <f>Normalization!E30</f>
        <v>1</v>
      </c>
      <c r="F25" s="49">
        <f>Normalization!G30</f>
        <v>1</v>
      </c>
      <c r="G25" s="49">
        <f>Normalization!I30</f>
        <v>0</v>
      </c>
    </row>
    <row r="26" spans="2:7" ht="15" customHeight="1">
      <c r="D26" s="3" t="s">
        <v>120</v>
      </c>
      <c r="E26" s="49">
        <f>$C$25*E25</f>
        <v>1</v>
      </c>
      <c r="F26" s="49">
        <f>$C$25*F25</f>
        <v>1</v>
      </c>
      <c r="G26" s="49">
        <f>$C$25*G25</f>
        <v>0</v>
      </c>
    </row>
    <row r="27" spans="2:7" ht="15" customHeight="1">
      <c r="B27" s="3" t="s">
        <v>162</v>
      </c>
      <c r="C27" s="3">
        <f>IF('1. Criteria'!F25="Y",'2. &amp; 3. Weighting'!$Q$15,0)</f>
        <v>1</v>
      </c>
      <c r="D27" s="3" t="s">
        <v>99</v>
      </c>
      <c r="E27" s="49">
        <f>Normalization!E32</f>
        <v>0</v>
      </c>
      <c r="F27" s="49">
        <f>Normalization!G32</f>
        <v>0.27272727272727271</v>
      </c>
      <c r="G27" s="49">
        <f>Normalization!I32</f>
        <v>1</v>
      </c>
    </row>
    <row r="28" spans="2:7" ht="15" customHeight="1">
      <c r="D28" s="3" t="s">
        <v>120</v>
      </c>
      <c r="E28" s="49">
        <f>$C$27*E27</f>
        <v>0</v>
      </c>
      <c r="F28" s="49">
        <f>$C$27*F27</f>
        <v>0.27272727272727271</v>
      </c>
      <c r="G28" s="49">
        <f>$C$27*G27</f>
        <v>1</v>
      </c>
    </row>
    <row r="29" spans="2:7" ht="15" customHeight="1">
      <c r="B29" s="3" t="s">
        <v>163</v>
      </c>
      <c r="C29" s="3">
        <f>IF('1. Criteria'!F26="Y",'2. &amp; 3. Weighting'!$R$15,0)</f>
        <v>0</v>
      </c>
      <c r="D29" s="3" t="s">
        <v>99</v>
      </c>
      <c r="E29" s="49">
        <f>Normalization!E34</f>
        <v>1</v>
      </c>
      <c r="F29" s="49">
        <f>Normalization!G34</f>
        <v>0.5</v>
      </c>
      <c r="G29" s="49">
        <f>Normalization!I34</f>
        <v>0</v>
      </c>
    </row>
    <row r="30" spans="2:7" ht="15" customHeight="1">
      <c r="D30" s="3" t="s">
        <v>120</v>
      </c>
      <c r="E30" s="49">
        <f>$C$29*E29</f>
        <v>0</v>
      </c>
      <c r="F30" s="49">
        <f>$C$29*F29</f>
        <v>0</v>
      </c>
      <c r="G30" s="49">
        <f>$C$29*G29</f>
        <v>0</v>
      </c>
    </row>
    <row r="31" spans="2:7">
      <c r="B31" s="3" t="s">
        <v>76</v>
      </c>
      <c r="C31" s="3">
        <f>IF('1. Criteria'!F27="Y",'2. &amp; 3. Weighting'!$S$15,0)</f>
        <v>1</v>
      </c>
      <c r="D31" s="3" t="s">
        <v>99</v>
      </c>
      <c r="E31" s="49">
        <f>Normalization!E36</f>
        <v>1</v>
      </c>
      <c r="F31" s="49">
        <f>Normalization!G36</f>
        <v>0</v>
      </c>
      <c r="G31" s="49">
        <f>Normalization!I36</f>
        <v>0.21839080459770116</v>
      </c>
    </row>
    <row r="32" spans="2:7" ht="15" customHeight="1">
      <c r="D32" s="3" t="s">
        <v>120</v>
      </c>
      <c r="E32" s="49">
        <f>$C$31*E31</f>
        <v>1</v>
      </c>
      <c r="F32" s="49">
        <f>$C$31*F31</f>
        <v>0</v>
      </c>
      <c r="G32" s="49">
        <f>$C$31*G31</f>
        <v>0.21839080459770116</v>
      </c>
    </row>
    <row r="33" spans="2:7">
      <c r="B33" s="3" t="s">
        <v>91</v>
      </c>
      <c r="C33" s="3">
        <f>IF('1. Criteria'!F28="Y",'2. &amp; 3. Weighting'!$T$15,0)</f>
        <v>0</v>
      </c>
      <c r="D33" s="3" t="s">
        <v>99</v>
      </c>
      <c r="E33" s="49">
        <f>Normalization!E38</f>
        <v>0</v>
      </c>
      <c r="F33" s="49">
        <f>Normalization!G38</f>
        <v>0.33</v>
      </c>
      <c r="G33" s="49">
        <f>Normalization!I38</f>
        <v>1</v>
      </c>
    </row>
    <row r="34" spans="2:7" ht="15" customHeight="1">
      <c r="D34" s="3" t="s">
        <v>120</v>
      </c>
      <c r="E34" s="49">
        <f>$C$33*E33</f>
        <v>0</v>
      </c>
      <c r="F34" s="49">
        <f>$C$33*F33</f>
        <v>0</v>
      </c>
      <c r="G34" s="49">
        <f>$C$33*G33</f>
        <v>0</v>
      </c>
    </row>
    <row r="35" spans="2:7">
      <c r="B35" s="3" t="s">
        <v>85</v>
      </c>
      <c r="C35" s="3">
        <f>IF('1. Criteria'!F29="Y",'2. &amp; 3. Weighting'!$U$15,0)</f>
        <v>1</v>
      </c>
      <c r="D35" s="3" t="s">
        <v>99</v>
      </c>
      <c r="E35" s="49">
        <f>Normalization!E40</f>
        <v>0</v>
      </c>
      <c r="F35" s="49">
        <f>Normalization!G40</f>
        <v>0</v>
      </c>
      <c r="G35" s="49">
        <f>Normalization!I40</f>
        <v>1</v>
      </c>
    </row>
    <row r="36" spans="2:7" ht="15" customHeight="1">
      <c r="D36" s="3" t="s">
        <v>120</v>
      </c>
      <c r="E36" s="49">
        <f>$C$35*E35</f>
        <v>0</v>
      </c>
      <c r="F36" s="49">
        <f>$C$35*F35</f>
        <v>0</v>
      </c>
      <c r="G36" s="49">
        <f>$C$35*G35</f>
        <v>1</v>
      </c>
    </row>
    <row r="37" spans="2:7">
      <c r="B37" s="3" t="s">
        <v>92</v>
      </c>
      <c r="C37" s="3">
        <f>IF('1. Criteria'!F30="Y",'2. &amp; 3. Weighting'!$V$15,0)</f>
        <v>1</v>
      </c>
      <c r="D37" s="3" t="s">
        <v>99</v>
      </c>
      <c r="E37" s="49">
        <f>Normalization!E42</f>
        <v>1</v>
      </c>
      <c r="F37" s="49">
        <f>Normalization!G42</f>
        <v>0</v>
      </c>
      <c r="G37" s="49">
        <f>Normalization!I42</f>
        <v>0.96350364963503654</v>
      </c>
    </row>
    <row r="38" spans="2:7" ht="15" customHeight="1">
      <c r="D38" s="3" t="s">
        <v>120</v>
      </c>
      <c r="E38" s="49">
        <f>$C$37*E37</f>
        <v>1</v>
      </c>
      <c r="F38" s="49">
        <f>$C$37*F37</f>
        <v>0</v>
      </c>
      <c r="G38" s="49">
        <f>$C$37*G37</f>
        <v>0.96350364963503654</v>
      </c>
    </row>
    <row r="39" spans="2:7" ht="15" customHeight="1">
      <c r="B39" s="3" t="s">
        <v>143</v>
      </c>
      <c r="C39" s="3">
        <f>IF('1. Criteria'!F31="Y",'2. &amp; 3. Weighting'!$W$15,0)</f>
        <v>1</v>
      </c>
      <c r="D39" s="3" t="s">
        <v>99</v>
      </c>
      <c r="E39" s="49">
        <f>Normalization!E44</f>
        <v>1</v>
      </c>
      <c r="F39" s="49">
        <f>Normalization!G44</f>
        <v>0.5</v>
      </c>
      <c r="G39" s="49">
        <f>Normalization!I44</f>
        <v>0</v>
      </c>
    </row>
    <row r="40" spans="2:7" ht="15" customHeight="1">
      <c r="D40" s="3" t="s">
        <v>120</v>
      </c>
      <c r="E40" s="49">
        <f>$C$39*E39</f>
        <v>1</v>
      </c>
      <c r="F40" s="49">
        <f>$C$39*F39</f>
        <v>0.5</v>
      </c>
      <c r="G40" s="49">
        <f>$C$39*G39</f>
        <v>0</v>
      </c>
    </row>
    <row r="41" spans="2:7" ht="15" customHeight="1">
      <c r="B41" s="3" t="s">
        <v>175</v>
      </c>
      <c r="C41" s="3">
        <f>IF('1. Criteria'!F32="Y",'2. &amp; 3. Weighting'!$X$15,0)</f>
        <v>1</v>
      </c>
      <c r="D41" s="3" t="s">
        <v>99</v>
      </c>
      <c r="E41" s="49">
        <f>Normalization!E46</f>
        <v>1</v>
      </c>
      <c r="F41" s="49">
        <f>Normalization!G46</f>
        <v>1</v>
      </c>
      <c r="G41" s="49">
        <f>Normalization!I46</f>
        <v>0</v>
      </c>
    </row>
    <row r="42" spans="2:7" ht="15" customHeight="1">
      <c r="D42" s="3" t="s">
        <v>120</v>
      </c>
      <c r="E42" s="49">
        <f>$C$41*E41</f>
        <v>1</v>
      </c>
      <c r="F42" s="49">
        <f>$C$41*F41</f>
        <v>1</v>
      </c>
      <c r="G42" s="49">
        <f>$C$41*G41</f>
        <v>0</v>
      </c>
    </row>
    <row r="43" spans="2:7" ht="15" customHeight="1">
      <c r="B43" s="3" t="s">
        <v>176</v>
      </c>
      <c r="C43" s="3">
        <f>IF('1. Criteria'!F33="Y",'2. &amp; 3. Weighting'!$Y$15,0)</f>
        <v>1</v>
      </c>
      <c r="D43" s="3" t="s">
        <v>99</v>
      </c>
      <c r="E43" s="49">
        <f>Normalization!E48</f>
        <v>0</v>
      </c>
      <c r="F43" s="49">
        <f>Normalization!G48</f>
        <v>0.5</v>
      </c>
      <c r="G43" s="49">
        <f>Normalization!I48</f>
        <v>1</v>
      </c>
    </row>
    <row r="44" spans="2:7" ht="15" customHeight="1">
      <c r="D44" s="3" t="s">
        <v>120</v>
      </c>
      <c r="E44" s="49">
        <f>$C$43*E43</f>
        <v>0</v>
      </c>
      <c r="F44" s="49">
        <f>$C$43*F43</f>
        <v>0.5</v>
      </c>
      <c r="G44" s="49">
        <f>$C$43*G43</f>
        <v>1</v>
      </c>
    </row>
    <row r="45" spans="2:7" ht="15" customHeight="1">
      <c r="B45" s="3" t="s">
        <v>177</v>
      </c>
      <c r="C45" s="3">
        <f>IF('1. Criteria'!F34="Y",'2. &amp; 3. Weighting'!$Z$15,0)</f>
        <v>1</v>
      </c>
      <c r="D45" s="3" t="s">
        <v>99</v>
      </c>
      <c r="E45" s="49">
        <f>Normalization!E50</f>
        <v>1</v>
      </c>
      <c r="F45" s="49">
        <f>Normalization!G50</f>
        <v>1</v>
      </c>
      <c r="G45" s="49">
        <f>Normalization!I50</f>
        <v>0</v>
      </c>
    </row>
    <row r="46" spans="2:7" ht="15" customHeight="1">
      <c r="D46" s="3" t="s">
        <v>120</v>
      </c>
      <c r="E46" s="49">
        <f>$C$45*E45</f>
        <v>1</v>
      </c>
      <c r="F46" s="49">
        <f>$C$45*F45</f>
        <v>1</v>
      </c>
      <c r="G46" s="49">
        <f>$C$45*G45</f>
        <v>0</v>
      </c>
    </row>
    <row r="47" spans="2:7" ht="15" customHeight="1">
      <c r="E47" s="49"/>
      <c r="F47" s="49"/>
      <c r="G47" s="49"/>
    </row>
    <row r="48" spans="2:7">
      <c r="C48" s="3">
        <f>SUM(C3:C46)</f>
        <v>18</v>
      </c>
      <c r="E48" s="49"/>
      <c r="F48" s="49"/>
      <c r="G48" s="49"/>
    </row>
    <row r="49" spans="4:10" ht="37.5">
      <c r="E49" s="49" t="str">
        <f>E2</f>
        <v>Anarobic digester and CHP</v>
      </c>
      <c r="F49" s="49" t="str">
        <f>F2</f>
        <v>PV</v>
      </c>
      <c r="G49" s="49" t="str">
        <f>G2</f>
        <v>Stand-alone DG</v>
      </c>
      <c r="J49" s="49"/>
    </row>
    <row r="50" spans="4:10" ht="15" customHeight="1">
      <c r="D50" s="3" t="s">
        <v>121</v>
      </c>
      <c r="E50" s="49">
        <f>SUMIFS(E3:E47,$D$3:$D$47,"WN")/$C$48</f>
        <v>0.65512265512265511</v>
      </c>
      <c r="F50" s="49">
        <f>SUMIFS(F3:F46,$D$3:$D$46,"WN")/$C$48</f>
        <v>0.47071060912646245</v>
      </c>
      <c r="G50" s="49">
        <f>SUMIFS(G3:G46,$D$3:$D$46,"WN")/$C$48</f>
        <v>0.4755934519103493</v>
      </c>
      <c r="H50" s="49"/>
      <c r="I50" s="49"/>
      <c r="J50" s="49"/>
    </row>
    <row r="51" spans="4:10" ht="15" customHeight="1">
      <c r="E51" s="37">
        <f>RANK(E50,$E50:$G50,0)</f>
        <v>1</v>
      </c>
      <c r="F51" s="37">
        <f>RANK(F50,$E50:$G50,0)</f>
        <v>3</v>
      </c>
      <c r="G51" s="37">
        <f>RANK(G50,$E50:$G50,0)</f>
        <v>2</v>
      </c>
      <c r="H51" s="49"/>
      <c r="I51" s="49"/>
      <c r="J51" s="49"/>
    </row>
    <row r="52" spans="4:10">
      <c r="D52" s="3" t="s">
        <v>122</v>
      </c>
      <c r="E52" s="3">
        <f>COUNTIFS(E3:E46,0,$D$3:$D$46,"N",$C$3:$C$46,"&gt;0")</f>
        <v>6</v>
      </c>
      <c r="F52" s="3">
        <f>COUNTIFS(F3:F46,0,$D$3:$D$46,"N",$C$3:$C$46,"&gt;0")</f>
        <v>7</v>
      </c>
      <c r="G52" s="3">
        <f>COUNTIFS(G3:G46,0,$D$3:$D$46,"N",$C$3:$C$46,"&gt;0")</f>
        <v>8</v>
      </c>
      <c r="H52" s="49"/>
      <c r="I52" s="49"/>
      <c r="J52" s="49"/>
    </row>
    <row r="53" spans="4:10">
      <c r="D53" s="3" t="s">
        <v>123</v>
      </c>
      <c r="E53" s="3">
        <f>COUNTIFS(E3:E46,1,$D$3:$D$46,"N",$C$3:$C$46,"&gt;0")</f>
        <v>11</v>
      </c>
      <c r="F53" s="3">
        <f>COUNTIFS(F3:F46,1,$D$3:$D$46,"N",$C$3:$C$46,"&gt;0")</f>
        <v>6</v>
      </c>
      <c r="G53" s="3">
        <f>COUNTIFS(G3:G46,1,$D$3:$D$46,"N",$C$3:$C$46,"&gt;0")</f>
        <v>6</v>
      </c>
      <c r="H53" s="49"/>
      <c r="I53" s="49"/>
      <c r="J53" s="49"/>
    </row>
    <row r="54" spans="4:10">
      <c r="H54" s="49"/>
      <c r="I54" s="49"/>
      <c r="J54" s="49"/>
    </row>
    <row r="55" spans="4:10">
      <c r="H55" s="49"/>
      <c r="I55" s="49"/>
    </row>
    <row r="60" spans="4:10">
      <c r="E60" s="49"/>
      <c r="F60" s="49"/>
      <c r="G60" s="49"/>
      <c r="H60" s="49"/>
    </row>
    <row r="81" hidden="1"/>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theme="7"/>
  </sheetPr>
  <dimension ref="A1:M39"/>
  <sheetViews>
    <sheetView showGridLines="0" zoomScale="88" zoomScaleNormal="88" workbookViewId="0">
      <selection activeCell="H37" sqref="H37"/>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0" width="43.7265625" style="2" customWidth="1"/>
    <col min="11" max="16384" width="11.54296875" style="2"/>
  </cols>
  <sheetData>
    <row r="1" spans="1:10" ht="54.65" customHeight="1" thickBot="1">
      <c r="C1" s="325" t="s">
        <v>77</v>
      </c>
      <c r="D1" s="326"/>
      <c r="E1" s="326"/>
      <c r="F1" s="326"/>
      <c r="G1" s="326"/>
      <c r="H1" s="326"/>
      <c r="I1" s="326"/>
      <c r="J1" s="326"/>
    </row>
    <row r="2" spans="1:10" ht="24" customHeight="1" thickBot="1">
      <c r="C2" s="294" t="s">
        <v>260</v>
      </c>
      <c r="D2" s="295"/>
      <c r="E2" s="295"/>
      <c r="F2" s="295"/>
      <c r="G2" s="295"/>
      <c r="H2" s="295"/>
      <c r="I2" s="295"/>
      <c r="J2" s="295"/>
    </row>
    <row r="3" spans="1:10" ht="13.5" thickBot="1">
      <c r="C3" s="3"/>
      <c r="D3" s="3"/>
      <c r="E3" s="3"/>
      <c r="F3" s="3"/>
      <c r="G3" s="3"/>
      <c r="H3" s="4"/>
    </row>
    <row r="4" spans="1:10" ht="74.5" customHeight="1">
      <c r="C4" s="123" t="s">
        <v>132</v>
      </c>
      <c r="D4" s="333" t="s">
        <v>264</v>
      </c>
      <c r="E4" s="334"/>
      <c r="F4" s="334"/>
      <c r="G4" s="334"/>
      <c r="H4" s="334"/>
      <c r="I4" s="334"/>
      <c r="J4" s="334"/>
    </row>
    <row r="5" spans="1:10" ht="13">
      <c r="A5" s="2" t="s">
        <v>3</v>
      </c>
      <c r="C5" s="124" t="s">
        <v>1</v>
      </c>
      <c r="D5" s="331" t="s">
        <v>102</v>
      </c>
      <c r="E5" s="332"/>
      <c r="F5" s="332"/>
      <c r="G5" s="332"/>
      <c r="H5" s="332"/>
      <c r="I5" s="332"/>
      <c r="J5" s="332"/>
    </row>
    <row r="6" spans="1:10" ht="13">
      <c r="C6" s="124" t="s">
        <v>4</v>
      </c>
      <c r="D6" s="329" t="s">
        <v>137</v>
      </c>
      <c r="E6" s="330"/>
      <c r="F6" s="330"/>
      <c r="G6" s="330"/>
      <c r="H6" s="330"/>
      <c r="I6" s="330"/>
      <c r="J6" s="330"/>
    </row>
    <row r="7" spans="1:10" ht="13">
      <c r="C7" s="124" t="s">
        <v>2</v>
      </c>
      <c r="D7" s="331" t="s">
        <v>107</v>
      </c>
      <c r="E7" s="332"/>
      <c r="F7" s="332"/>
      <c r="G7" s="332"/>
      <c r="H7" s="332"/>
      <c r="I7" s="332"/>
      <c r="J7" s="332"/>
    </row>
    <row r="8" spans="1:10" ht="15" customHeight="1" thickBot="1">
      <c r="B8" s="23"/>
      <c r="C8" s="125" t="s">
        <v>156</v>
      </c>
      <c r="D8" s="327" t="s">
        <v>263</v>
      </c>
      <c r="E8" s="328"/>
      <c r="F8" s="328"/>
      <c r="G8" s="328"/>
      <c r="H8" s="328"/>
      <c r="I8" s="328"/>
      <c r="J8" s="328"/>
    </row>
    <row r="9" spans="1:10" ht="13.5" thickBot="1">
      <c r="C9" s="1"/>
      <c r="D9" s="1"/>
      <c r="E9" s="1"/>
      <c r="F9" s="1"/>
      <c r="G9" s="1"/>
      <c r="H9" s="1"/>
    </row>
    <row r="10" spans="1:10" ht="19.899999999999999" customHeight="1" thickBot="1">
      <c r="C10" s="302" t="s">
        <v>6</v>
      </c>
      <c r="D10" s="303"/>
      <c r="E10" s="303"/>
      <c r="F10" s="303"/>
      <c r="G10" s="303"/>
      <c r="H10" s="303"/>
      <c r="I10" s="303"/>
      <c r="J10" s="303"/>
    </row>
    <row r="11" spans="1:10" ht="62" customHeight="1">
      <c r="C11" s="126" t="s">
        <v>10</v>
      </c>
      <c r="D11" s="329" t="s">
        <v>265</v>
      </c>
      <c r="E11" s="330"/>
      <c r="F11" s="330"/>
      <c r="G11" s="330"/>
      <c r="H11" s="330"/>
      <c r="I11" s="330"/>
      <c r="J11" s="330"/>
    </row>
    <row r="12" spans="1:10" ht="13" thickBot="1"/>
    <row r="13" spans="1:10" ht="19.899999999999999" customHeight="1" thickBot="1">
      <c r="C13" s="302" t="s">
        <v>8</v>
      </c>
      <c r="D13" s="303"/>
      <c r="E13" s="303"/>
      <c r="F13" s="303"/>
      <c r="G13" s="303"/>
      <c r="H13" s="303"/>
      <c r="I13" s="303"/>
      <c r="J13" s="303"/>
    </row>
    <row r="14" spans="1:10" ht="85.5" customHeight="1">
      <c r="C14" s="127" t="s">
        <v>9</v>
      </c>
      <c r="D14" s="329" t="s">
        <v>266</v>
      </c>
      <c r="E14" s="330"/>
      <c r="F14" s="330"/>
      <c r="G14" s="330"/>
      <c r="H14" s="330"/>
      <c r="I14" s="330"/>
      <c r="J14" s="330"/>
    </row>
    <row r="15" spans="1:10" ht="28" customHeight="1" thickBot="1">
      <c r="C15" s="125" t="s">
        <v>157</v>
      </c>
      <c r="D15" s="329" t="s">
        <v>267</v>
      </c>
      <c r="E15" s="330"/>
      <c r="F15" s="330"/>
      <c r="G15" s="330"/>
      <c r="H15" s="330"/>
      <c r="I15" s="330"/>
      <c r="J15" s="330"/>
    </row>
    <row r="16" spans="1:10">
      <c r="C16" s="2" t="s">
        <v>7</v>
      </c>
    </row>
    <row r="17" spans="2:13" ht="13" thickBot="1"/>
    <row r="18" spans="2:13" ht="19.899999999999999" customHeight="1" thickBot="1">
      <c r="C18" s="279" t="s">
        <v>20</v>
      </c>
      <c r="D18" s="280"/>
      <c r="E18" s="280"/>
      <c r="F18" s="280"/>
      <c r="G18" s="280"/>
      <c r="H18" s="280"/>
      <c r="I18" s="280"/>
      <c r="J18" s="280"/>
    </row>
    <row r="19" spans="2:13" ht="26.5" customHeight="1" thickBot="1">
      <c r="C19" s="281" t="s">
        <v>324</v>
      </c>
      <c r="D19" s="281"/>
      <c r="E19" s="281"/>
      <c r="F19" s="281"/>
      <c r="G19" s="281"/>
      <c r="H19" s="281"/>
      <c r="I19" s="281"/>
      <c r="J19" s="281"/>
    </row>
    <row r="20" spans="2:13" ht="16" thickBot="1">
      <c r="B20" s="2" t="s">
        <v>98</v>
      </c>
      <c r="C20" s="282" t="s">
        <v>21</v>
      </c>
      <c r="D20" s="283"/>
      <c r="E20" s="283"/>
      <c r="F20" s="283"/>
      <c r="G20" s="283"/>
      <c r="H20" s="283"/>
      <c r="I20" s="283"/>
      <c r="J20" s="283"/>
    </row>
    <row r="21" spans="2:13" ht="40.5" customHeight="1" thickBot="1">
      <c r="B21" s="2" t="s">
        <v>99</v>
      </c>
      <c r="C21" s="13" t="str">
        <f>$D$8</f>
        <v>€/kW</v>
      </c>
      <c r="D21" s="39" t="s">
        <v>332</v>
      </c>
      <c r="E21" s="39"/>
      <c r="F21" s="39" t="s">
        <v>330</v>
      </c>
      <c r="G21" s="39"/>
      <c r="H21" s="39" t="s">
        <v>256</v>
      </c>
      <c r="I21" s="39"/>
      <c r="J21" s="12" t="s">
        <v>86</v>
      </c>
      <c r="K21" s="284" t="s">
        <v>323</v>
      </c>
      <c r="L21" s="285"/>
      <c r="M21" s="285"/>
    </row>
    <row r="22" spans="2:13" ht="21" customHeight="1" thickBot="1">
      <c r="C22" s="112" t="s">
        <v>307</v>
      </c>
      <c r="D22" s="38">
        <v>1000</v>
      </c>
      <c r="E22" s="34" t="s">
        <v>98</v>
      </c>
      <c r="F22" s="38"/>
      <c r="G22" s="34" t="s">
        <v>98</v>
      </c>
      <c r="H22" s="38"/>
      <c r="I22" s="34" t="s">
        <v>98</v>
      </c>
      <c r="J22" s="225" t="s">
        <v>340</v>
      </c>
      <c r="K22" s="284"/>
      <c r="L22" s="285"/>
      <c r="M22" s="285"/>
    </row>
    <row r="23" spans="2:13" ht="44" customHeight="1" thickBot="1">
      <c r="C23" s="226" t="s">
        <v>307</v>
      </c>
      <c r="D23" s="38"/>
      <c r="E23" s="34" t="s">
        <v>98</v>
      </c>
      <c r="F23" s="38">
        <v>7000</v>
      </c>
      <c r="G23" s="34" t="s">
        <v>99</v>
      </c>
      <c r="H23" s="38"/>
      <c r="I23" s="34" t="s">
        <v>98</v>
      </c>
      <c r="J23" s="33"/>
      <c r="K23" s="284"/>
      <c r="L23" s="285"/>
      <c r="M23" s="285"/>
    </row>
    <row r="24" spans="2:13" ht="25.5" thickBot="1">
      <c r="C24" s="226" t="s">
        <v>307</v>
      </c>
      <c r="D24" s="38"/>
      <c r="E24" s="34" t="s">
        <v>99</v>
      </c>
      <c r="F24" s="38"/>
      <c r="G24" s="34" t="s">
        <v>98</v>
      </c>
      <c r="H24" s="38">
        <v>4455</v>
      </c>
      <c r="I24" s="34" t="s">
        <v>99</v>
      </c>
      <c r="J24" s="33" t="s">
        <v>334</v>
      </c>
    </row>
    <row r="25" spans="2:13" ht="25.5" thickBot="1">
      <c r="C25" s="112" t="s">
        <v>307</v>
      </c>
      <c r="D25" s="38"/>
      <c r="E25" s="34"/>
      <c r="F25" s="38">
        <v>1000</v>
      </c>
      <c r="G25" s="34" t="s">
        <v>98</v>
      </c>
      <c r="H25" s="38">
        <v>500</v>
      </c>
      <c r="I25" s="34" t="s">
        <v>98</v>
      </c>
      <c r="J25" s="33"/>
    </row>
    <row r="26" spans="2:13" ht="25.5" thickBot="1">
      <c r="C26" s="112" t="s">
        <v>307</v>
      </c>
      <c r="D26" s="38"/>
      <c r="E26" s="34"/>
      <c r="F26" s="38">
        <v>800</v>
      </c>
      <c r="G26" s="34" t="s">
        <v>98</v>
      </c>
      <c r="H26" s="38">
        <v>800</v>
      </c>
      <c r="I26" s="34" t="s">
        <v>98</v>
      </c>
      <c r="J26" s="33"/>
    </row>
    <row r="27" spans="2:13" ht="13" thickBot="1">
      <c r="C27" s="112"/>
      <c r="D27" s="38"/>
      <c r="E27" s="34"/>
      <c r="F27" s="38"/>
      <c r="G27" s="34"/>
      <c r="H27" s="38"/>
      <c r="I27" s="34"/>
      <c r="J27" s="33"/>
    </row>
    <row r="28" spans="2:13" ht="13" thickBot="1">
      <c r="C28" s="112" t="s">
        <v>321</v>
      </c>
      <c r="D28" s="38"/>
      <c r="E28" s="34"/>
      <c r="F28" s="38"/>
      <c r="G28" s="34"/>
      <c r="H28" s="38"/>
      <c r="I28" s="34"/>
      <c r="J28" s="33"/>
    </row>
    <row r="29" spans="2:13" ht="13">
      <c r="C29" s="19" t="s">
        <v>16</v>
      </c>
      <c r="D29" s="286">
        <f>MIN(D22:D28)</f>
        <v>1000</v>
      </c>
      <c r="E29" s="287"/>
      <c r="F29" s="287">
        <f>MIN(F22:F28)</f>
        <v>800</v>
      </c>
      <c r="G29" s="287"/>
      <c r="H29" s="287">
        <f>MIN(H22:H28)</f>
        <v>500</v>
      </c>
      <c r="I29" s="287"/>
      <c r="J29" s="167"/>
    </row>
    <row r="30" spans="2:13" ht="13.5" thickBot="1">
      <c r="C30" s="20" t="s">
        <v>17</v>
      </c>
      <c r="D30" s="277">
        <f>MAX(D22:D28)</f>
        <v>1000</v>
      </c>
      <c r="E30" s="278"/>
      <c r="F30" s="278">
        <f>MAX(F22:F28)</f>
        <v>7000</v>
      </c>
      <c r="G30" s="278"/>
      <c r="H30" s="278">
        <f>MAX(H22:H28)</f>
        <v>4455</v>
      </c>
      <c r="I30" s="278"/>
      <c r="J30" s="168"/>
    </row>
    <row r="31" spans="2:13" ht="13.5" thickBot="1">
      <c r="C31" s="21" t="s">
        <v>72</v>
      </c>
      <c r="D31" s="273">
        <f>MEDIAN(D22:D28)</f>
        <v>1000</v>
      </c>
      <c r="E31" s="274"/>
      <c r="F31" s="274">
        <f>MEDIAN(F22:F28)</f>
        <v>1000</v>
      </c>
      <c r="G31" s="274"/>
      <c r="H31" s="274">
        <f>MEDIAN(H22:H28)</f>
        <v>800</v>
      </c>
      <c r="I31" s="274"/>
      <c r="J31" s="169"/>
    </row>
    <row r="32" spans="2:13" ht="13.5" thickBot="1">
      <c r="C32" s="20" t="s">
        <v>19</v>
      </c>
      <c r="D32" s="273">
        <f>AVERAGEIF(E22:E28,"Y",D22:D28)</f>
        <v>1000</v>
      </c>
      <c r="E32" s="274"/>
      <c r="F32" s="274">
        <f>AVERAGEIF(G22:G28,"Y",F22:F28)</f>
        <v>900</v>
      </c>
      <c r="G32" s="274"/>
      <c r="H32" s="274">
        <f>AVERAGEIF(I22:I28,"Y",H22:H28)</f>
        <v>650</v>
      </c>
      <c r="I32" s="274"/>
      <c r="J32" s="169"/>
    </row>
    <row r="33" spans="3:13" ht="13.5" customHeight="1" thickBot="1">
      <c r="C33" s="21" t="s">
        <v>18</v>
      </c>
      <c r="D33" s="275">
        <f>D32</f>
        <v>1000</v>
      </c>
      <c r="E33" s="276"/>
      <c r="F33" s="275">
        <f t="shared" ref="F33" si="0">F32</f>
        <v>900</v>
      </c>
      <c r="G33" s="276"/>
      <c r="H33" s="275">
        <f t="shared" ref="H33" si="1">H32</f>
        <v>650</v>
      </c>
      <c r="I33" s="276"/>
      <c r="J33" s="170"/>
      <c r="K33" s="272" t="s">
        <v>322</v>
      </c>
      <c r="L33" s="272"/>
      <c r="M33" s="272"/>
    </row>
    <row r="34" spans="3:13" ht="13">
      <c r="C34" s="1"/>
      <c r="D34" s="3"/>
      <c r="E34" s="3"/>
      <c r="F34" s="3"/>
      <c r="G34" s="3"/>
      <c r="H34" s="3"/>
      <c r="I34" s="3"/>
      <c r="J34" s="3"/>
      <c r="K34" s="272"/>
      <c r="L34" s="272"/>
      <c r="M34" s="272"/>
    </row>
    <row r="35" spans="3:13" ht="12.5" customHeight="1">
      <c r="K35" s="272"/>
      <c r="L35" s="272"/>
      <c r="M35" s="272"/>
    </row>
    <row r="36" spans="3:13" ht="12.5" customHeight="1">
      <c r="K36" s="272"/>
      <c r="L36" s="272"/>
      <c r="M36" s="272"/>
    </row>
    <row r="37" spans="3:13" ht="12.5" customHeight="1">
      <c r="K37" s="272"/>
      <c r="L37" s="272"/>
      <c r="M37" s="272"/>
    </row>
    <row r="38" spans="3:13">
      <c r="K38" s="272"/>
      <c r="L38" s="272"/>
      <c r="M38" s="272"/>
    </row>
    <row r="39" spans="3:13">
      <c r="K39" s="272"/>
      <c r="L39" s="272"/>
      <c r="M39" s="272"/>
    </row>
  </sheetData>
  <mergeCells count="32">
    <mergeCell ref="D4:J4"/>
    <mergeCell ref="D5:J5"/>
    <mergeCell ref="D6:J6"/>
    <mergeCell ref="D33:E33"/>
    <mergeCell ref="F33:G33"/>
    <mergeCell ref="H33:I33"/>
    <mergeCell ref="D32:E32"/>
    <mergeCell ref="F32:G32"/>
    <mergeCell ref="H32:I32"/>
    <mergeCell ref="C13:J13"/>
    <mergeCell ref="D14:J14"/>
    <mergeCell ref="D15:J15"/>
    <mergeCell ref="C18:J18"/>
    <mergeCell ref="D31:E31"/>
    <mergeCell ref="F31:G31"/>
    <mergeCell ref="H31:I31"/>
    <mergeCell ref="K33:M39"/>
    <mergeCell ref="K21:M23"/>
    <mergeCell ref="C19:J19"/>
    <mergeCell ref="C1:J1"/>
    <mergeCell ref="C20:J20"/>
    <mergeCell ref="D30:E30"/>
    <mergeCell ref="F30:G30"/>
    <mergeCell ref="D29:E29"/>
    <mergeCell ref="F29:G29"/>
    <mergeCell ref="H29:I29"/>
    <mergeCell ref="H30:I30"/>
    <mergeCell ref="D8:J8"/>
    <mergeCell ref="C10:J10"/>
    <mergeCell ref="D11:J11"/>
    <mergeCell ref="D7:J7"/>
    <mergeCell ref="C2:J2"/>
  </mergeCells>
  <conditionalFormatting sqref="E22:E28 I22:I28 G22:G28">
    <cfRule type="cellIs" dxfId="69" priority="37" operator="equal">
      <formula>"N"</formula>
    </cfRule>
    <cfRule type="cellIs" dxfId="68" priority="38" operator="equal">
      <formula>"Y"</formula>
    </cfRule>
  </conditionalFormatting>
  <dataValidations count="1">
    <dataValidation type="list" allowBlank="1" showInputMessage="1" showErrorMessage="1" sqref="I22:I28 E22:E28 G22:G28" xr:uid="{00000000-0002-0000-0100-000000000000}">
      <formula1>$B$20:$B$21</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tabColor theme="7"/>
  </sheetPr>
  <dimension ref="A1:J30"/>
  <sheetViews>
    <sheetView zoomScale="88" zoomScaleNormal="88" workbookViewId="0">
      <selection activeCell="D27" sqref="D27:E27"/>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25" t="s">
        <v>78</v>
      </c>
      <c r="D1" s="326"/>
      <c r="E1" s="326"/>
      <c r="F1" s="326"/>
      <c r="G1" s="326"/>
      <c r="H1" s="326"/>
      <c r="I1" s="326"/>
      <c r="J1" s="326"/>
    </row>
    <row r="2" spans="1:10" ht="24" customHeight="1" thickBot="1">
      <c r="C2" s="294" t="str">
        <f>'1. Criteria'!C18</f>
        <v>Net present value</v>
      </c>
      <c r="D2" s="295"/>
      <c r="E2" s="295"/>
      <c r="F2" s="295"/>
      <c r="G2" s="295"/>
      <c r="H2" s="295"/>
      <c r="I2" s="295"/>
      <c r="J2" s="295"/>
    </row>
    <row r="3" spans="1:10" ht="13.5" thickBot="1">
      <c r="C3" s="3"/>
      <c r="D3" s="3"/>
      <c r="E3" s="3"/>
      <c r="F3" s="3"/>
      <c r="G3" s="3"/>
      <c r="H3" s="4"/>
    </row>
    <row r="4" spans="1:10" ht="27.65" customHeight="1">
      <c r="C4" s="123" t="s">
        <v>132</v>
      </c>
      <c r="D4" s="347" t="s">
        <v>200</v>
      </c>
      <c r="E4" s="348"/>
      <c r="F4" s="348"/>
      <c r="G4" s="348"/>
      <c r="H4" s="348"/>
      <c r="I4" s="348"/>
      <c r="J4" s="348"/>
    </row>
    <row r="5" spans="1:10" ht="13">
      <c r="A5" s="2" t="s">
        <v>3</v>
      </c>
      <c r="C5" s="124" t="s">
        <v>1</v>
      </c>
      <c r="D5" s="343" t="s">
        <v>102</v>
      </c>
      <c r="E5" s="344"/>
      <c r="F5" s="344"/>
      <c r="G5" s="344"/>
      <c r="H5" s="344"/>
      <c r="I5" s="344"/>
      <c r="J5" s="344"/>
    </row>
    <row r="6" spans="1:10" ht="12.75" customHeight="1">
      <c r="C6" s="124" t="s">
        <v>4</v>
      </c>
      <c r="D6" s="343" t="s">
        <v>137</v>
      </c>
      <c r="E6" s="344"/>
      <c r="F6" s="344"/>
      <c r="G6" s="344"/>
      <c r="H6" s="344"/>
      <c r="I6" s="344"/>
      <c r="J6" s="344"/>
    </row>
    <row r="7" spans="1:10" ht="13">
      <c r="C7" s="124" t="s">
        <v>2</v>
      </c>
      <c r="D7" s="343" t="s">
        <v>107</v>
      </c>
      <c r="E7" s="344"/>
      <c r="F7" s="344"/>
      <c r="G7" s="344"/>
      <c r="H7" s="344"/>
      <c r="I7" s="344"/>
      <c r="J7" s="344"/>
    </row>
    <row r="8" spans="1:10" ht="15" customHeight="1" thickBot="1">
      <c r="B8" s="23"/>
      <c r="C8" s="125" t="s">
        <v>5</v>
      </c>
      <c r="D8" s="345" t="s">
        <v>273</v>
      </c>
      <c r="E8" s="346"/>
      <c r="F8" s="346"/>
      <c r="G8" s="346"/>
      <c r="H8" s="346"/>
      <c r="I8" s="346"/>
      <c r="J8" s="346"/>
    </row>
    <row r="9" spans="1:10" ht="13.5" thickBot="1">
      <c r="C9" s="1"/>
      <c r="D9" s="1"/>
      <c r="E9" s="1"/>
      <c r="F9" s="1"/>
      <c r="G9" s="1"/>
      <c r="H9" s="1"/>
    </row>
    <row r="10" spans="1:10" ht="19.899999999999999" customHeight="1" thickBot="1">
      <c r="C10" s="279" t="s">
        <v>6</v>
      </c>
      <c r="D10" s="341"/>
      <c r="E10" s="341"/>
      <c r="F10" s="341"/>
      <c r="G10" s="341"/>
      <c r="H10" s="341"/>
      <c r="I10" s="341"/>
      <c r="J10" s="341"/>
    </row>
    <row r="11" spans="1:10" ht="76" customHeight="1">
      <c r="C11" s="126" t="s">
        <v>10</v>
      </c>
      <c r="D11" s="333" t="s">
        <v>201</v>
      </c>
      <c r="E11" s="334"/>
      <c r="F11" s="334"/>
      <c r="G11" s="334"/>
      <c r="H11" s="334"/>
      <c r="I11" s="334"/>
      <c r="J11" s="334"/>
    </row>
    <row r="12" spans="1:10" ht="13" thickBot="1"/>
    <row r="13" spans="1:10" ht="19.899999999999999" customHeight="1" thickBot="1">
      <c r="C13" s="279" t="s">
        <v>8</v>
      </c>
      <c r="D13" s="341"/>
      <c r="E13" s="341"/>
      <c r="F13" s="341"/>
      <c r="G13" s="341"/>
      <c r="H13" s="341"/>
      <c r="I13" s="341"/>
      <c r="J13" s="341"/>
    </row>
    <row r="14" spans="1:10" ht="89.25" customHeight="1" thickBot="1">
      <c r="C14" s="127" t="s">
        <v>9</v>
      </c>
      <c r="D14" s="333" t="s">
        <v>202</v>
      </c>
      <c r="E14" s="334"/>
      <c r="F14" s="334"/>
      <c r="G14" s="334"/>
      <c r="H14" s="334"/>
      <c r="I14" s="334"/>
      <c r="J14" s="334"/>
    </row>
    <row r="15" spans="1:10" ht="26.25" customHeight="1" thickBot="1">
      <c r="C15" s="125" t="s">
        <v>157</v>
      </c>
      <c r="D15" s="333" t="s">
        <v>245</v>
      </c>
      <c r="E15" s="334"/>
      <c r="F15" s="334"/>
      <c r="G15" s="334"/>
      <c r="H15" s="334"/>
      <c r="I15" s="334"/>
      <c r="J15" s="334"/>
    </row>
    <row r="16" spans="1:10">
      <c r="C16" s="2" t="s">
        <v>7</v>
      </c>
    </row>
    <row r="17" spans="2:10" ht="13" thickBot="1"/>
    <row r="18" spans="2:10" ht="19.899999999999999" customHeight="1" thickBot="1">
      <c r="C18" s="279" t="s">
        <v>20</v>
      </c>
      <c r="D18" s="341"/>
      <c r="E18" s="341"/>
      <c r="F18" s="341"/>
      <c r="G18" s="341"/>
      <c r="H18" s="341"/>
      <c r="I18" s="341"/>
      <c r="J18" s="341"/>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14.5" customHeight="1" thickBot="1">
      <c r="B21" s="2" t="s">
        <v>99</v>
      </c>
      <c r="C21" s="13" t="str">
        <f>$D$8</f>
        <v>€</v>
      </c>
      <c r="D21" s="39" t="s">
        <v>182</v>
      </c>
      <c r="E21" s="39"/>
      <c r="F21" s="39" t="s">
        <v>259</v>
      </c>
      <c r="G21" s="39"/>
      <c r="H21" s="39" t="s">
        <v>256</v>
      </c>
      <c r="I21" s="39"/>
      <c r="J21" s="12" t="s">
        <v>86</v>
      </c>
    </row>
    <row r="22" spans="2:10" ht="13" thickBot="1">
      <c r="C22" s="112" t="s">
        <v>158</v>
      </c>
      <c r="D22" s="37">
        <v>1500</v>
      </c>
      <c r="E22" s="171" t="s">
        <v>98</v>
      </c>
      <c r="F22" s="37">
        <v>240</v>
      </c>
      <c r="G22" s="171" t="s">
        <v>98</v>
      </c>
      <c r="H22" s="37"/>
      <c r="I22" s="171"/>
      <c r="J22" s="172"/>
    </row>
    <row r="23" spans="2:10" ht="13" thickBot="1">
      <c r="C23" s="112" t="s">
        <v>158</v>
      </c>
      <c r="D23" s="37">
        <v>3860</v>
      </c>
      <c r="E23" s="171" t="s">
        <v>98</v>
      </c>
      <c r="F23" s="37">
        <v>400</v>
      </c>
      <c r="G23" s="171" t="s">
        <v>98</v>
      </c>
      <c r="H23" s="37">
        <v>1790</v>
      </c>
      <c r="I23" s="171" t="s">
        <v>98</v>
      </c>
      <c r="J23" s="172"/>
    </row>
    <row r="24" spans="2:10" ht="13" thickBot="1">
      <c r="C24" s="112" t="s">
        <v>158</v>
      </c>
      <c r="D24" s="37">
        <v>1500</v>
      </c>
      <c r="E24" s="171" t="s">
        <v>98</v>
      </c>
      <c r="F24" s="37">
        <v>300</v>
      </c>
      <c r="G24" s="171" t="s">
        <v>98</v>
      </c>
      <c r="H24" s="37">
        <f>AVERAGE(2000,4000)</f>
        <v>3000</v>
      </c>
      <c r="I24" s="171" t="s">
        <v>98</v>
      </c>
      <c r="J24" s="172"/>
    </row>
    <row r="25" spans="2:10" ht="13">
      <c r="C25" s="19" t="s">
        <v>16</v>
      </c>
      <c r="D25" s="312">
        <f>MIN(D22:D24)</f>
        <v>1500</v>
      </c>
      <c r="E25" s="313"/>
      <c r="F25" s="313">
        <f>MIN(F22:F24)</f>
        <v>240</v>
      </c>
      <c r="G25" s="313"/>
      <c r="H25" s="313">
        <f>MIN(H22:H24)</f>
        <v>1790</v>
      </c>
      <c r="I25" s="313"/>
      <c r="J25" s="173"/>
    </row>
    <row r="26" spans="2:10" ht="13.5" thickBot="1">
      <c r="C26" s="20" t="s">
        <v>17</v>
      </c>
      <c r="D26" s="339">
        <f>MAX(D22:D24)</f>
        <v>3860</v>
      </c>
      <c r="E26" s="340"/>
      <c r="F26" s="340">
        <f>MAX(F22:F24)</f>
        <v>400</v>
      </c>
      <c r="G26" s="340"/>
      <c r="H26" s="340">
        <f>MAX(H22:H24)</f>
        <v>3000</v>
      </c>
      <c r="I26" s="340"/>
      <c r="J26" s="174"/>
    </row>
    <row r="27" spans="2:10" ht="13.5" thickBot="1">
      <c r="C27" s="21" t="s">
        <v>72</v>
      </c>
      <c r="D27" s="337">
        <f>MEDIAN(D22:D24)</f>
        <v>1500</v>
      </c>
      <c r="E27" s="338"/>
      <c r="F27" s="338">
        <f>MEDIAN(F22:F24)</f>
        <v>300</v>
      </c>
      <c r="G27" s="338"/>
      <c r="H27" s="338">
        <f>MEDIAN(H22:H24)</f>
        <v>2395</v>
      </c>
      <c r="I27" s="338"/>
      <c r="J27" s="175"/>
    </row>
    <row r="28" spans="2:10" ht="13.5" thickBot="1">
      <c r="C28" s="20" t="s">
        <v>19</v>
      </c>
      <c r="D28" s="337">
        <f>AVERAGEIF(E22:E24,"Y",D22:D24)</f>
        <v>2286.6666666666665</v>
      </c>
      <c r="E28" s="338"/>
      <c r="F28" s="338">
        <f>AVERAGEIF(G22:G24,"Y",F22:F24)</f>
        <v>313.33333333333331</v>
      </c>
      <c r="G28" s="338"/>
      <c r="H28" s="338">
        <f>AVERAGEIF(I22:I24,"Y",H22:H24)</f>
        <v>2395</v>
      </c>
      <c r="I28" s="338"/>
      <c r="J28" s="175"/>
    </row>
    <row r="29" spans="2:10" ht="13.5" thickBot="1">
      <c r="C29" s="21" t="s">
        <v>18</v>
      </c>
      <c r="D29" s="335">
        <v>2300</v>
      </c>
      <c r="E29" s="336"/>
      <c r="F29" s="336">
        <v>600</v>
      </c>
      <c r="G29" s="336"/>
      <c r="H29" s="336">
        <v>3000</v>
      </c>
      <c r="I29" s="336"/>
      <c r="J29" s="176"/>
    </row>
    <row r="30" spans="2:10" ht="13">
      <c r="C30" s="1"/>
      <c r="D30" s="3"/>
      <c r="E30" s="3"/>
      <c r="F30" s="3"/>
      <c r="G30" s="3"/>
      <c r="H30" s="3"/>
      <c r="I30" s="3"/>
      <c r="J30" s="3"/>
    </row>
  </sheetData>
  <mergeCells count="29">
    <mergeCell ref="C2:J2"/>
    <mergeCell ref="D4:J4"/>
    <mergeCell ref="D5:J5"/>
    <mergeCell ref="D6:J6"/>
    <mergeCell ref="D14:J14"/>
    <mergeCell ref="D15:J15"/>
    <mergeCell ref="C18:J18"/>
    <mergeCell ref="C20:J20"/>
    <mergeCell ref="D7:J7"/>
    <mergeCell ref="D8:J8"/>
    <mergeCell ref="C10:J10"/>
    <mergeCell ref="D11:J11"/>
    <mergeCell ref="C13:J13"/>
    <mergeCell ref="D25:E25"/>
    <mergeCell ref="F25:G25"/>
    <mergeCell ref="H25:I25"/>
    <mergeCell ref="C1:J1"/>
    <mergeCell ref="D29:E29"/>
    <mergeCell ref="F29:G29"/>
    <mergeCell ref="H29:I29"/>
    <mergeCell ref="D28:E28"/>
    <mergeCell ref="F28:G28"/>
    <mergeCell ref="H28:I28"/>
    <mergeCell ref="D27:E27"/>
    <mergeCell ref="F27:G27"/>
    <mergeCell ref="H27:I27"/>
    <mergeCell ref="D26:E26"/>
    <mergeCell ref="F26:G26"/>
    <mergeCell ref="H26:I26"/>
  </mergeCells>
  <conditionalFormatting sqref="E22:E24 G22:G24 I22:I24">
    <cfRule type="cellIs" dxfId="67" priority="23" operator="equal">
      <formula>"N"</formula>
    </cfRule>
    <cfRule type="cellIs" dxfId="66" priority="24" operator="equal">
      <formula>"Y"</formula>
    </cfRule>
  </conditionalFormatting>
  <dataValidations count="1">
    <dataValidation type="list" allowBlank="1" showInputMessage="1" showErrorMessage="1" sqref="E22:E24 I22:I24 G22:G24" xr:uid="{00000000-0002-0000-0200-000000000000}">
      <formula1>$B$20:$B$21</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tabColor theme="7"/>
  </sheetPr>
  <dimension ref="A1:J89"/>
  <sheetViews>
    <sheetView showGridLines="0" zoomScale="88" zoomScaleNormal="88" workbookViewId="0">
      <selection activeCell="D31" sqref="D31:E3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25" t="s">
        <v>80</v>
      </c>
      <c r="D1" s="326"/>
      <c r="E1" s="326"/>
      <c r="F1" s="326"/>
      <c r="G1" s="326"/>
      <c r="H1" s="326"/>
      <c r="I1" s="326"/>
      <c r="J1" s="326"/>
    </row>
    <row r="2" spans="1:10" ht="24" customHeight="1" thickBot="1">
      <c r="C2" s="294" t="str">
        <f>'1. Criteria'!C19</f>
        <v>Payback period</v>
      </c>
      <c r="D2" s="295"/>
      <c r="E2" s="295"/>
      <c r="F2" s="295"/>
      <c r="G2" s="295"/>
      <c r="H2" s="295"/>
      <c r="I2" s="295"/>
      <c r="J2" s="295"/>
    </row>
    <row r="3" spans="1:10" ht="13.5" thickBot="1">
      <c r="C3" s="3"/>
      <c r="D3" s="3"/>
      <c r="E3" s="3"/>
      <c r="F3" s="3"/>
      <c r="G3" s="3"/>
      <c r="H3" s="4"/>
    </row>
    <row r="4" spans="1:10" ht="32.15" customHeight="1">
      <c r="C4" s="123" t="s">
        <v>132</v>
      </c>
      <c r="D4" s="349" t="s">
        <v>203</v>
      </c>
      <c r="E4" s="350"/>
      <c r="F4" s="350"/>
      <c r="G4" s="350"/>
      <c r="H4" s="350"/>
      <c r="I4" s="350"/>
      <c r="J4" s="350"/>
    </row>
    <row r="5" spans="1:10" ht="13">
      <c r="A5" s="2" t="s">
        <v>3</v>
      </c>
      <c r="C5" s="124" t="s">
        <v>1</v>
      </c>
      <c r="D5" s="331" t="s">
        <v>102</v>
      </c>
      <c r="E5" s="332"/>
      <c r="F5" s="332"/>
      <c r="G5" s="332"/>
      <c r="H5" s="332"/>
      <c r="I5" s="332"/>
      <c r="J5" s="332"/>
    </row>
    <row r="6" spans="1:10" ht="13">
      <c r="C6" s="124" t="s">
        <v>4</v>
      </c>
      <c r="D6" s="331" t="s">
        <v>137</v>
      </c>
      <c r="E6" s="332"/>
      <c r="F6" s="332"/>
      <c r="G6" s="332"/>
      <c r="H6" s="332"/>
      <c r="I6" s="332"/>
      <c r="J6" s="332"/>
    </row>
    <row r="7" spans="1:10" ht="13">
      <c r="C7" s="124" t="s">
        <v>2</v>
      </c>
      <c r="D7" s="331" t="s">
        <v>107</v>
      </c>
      <c r="E7" s="332"/>
      <c r="F7" s="332"/>
      <c r="G7" s="332"/>
      <c r="H7" s="332"/>
      <c r="I7" s="332"/>
      <c r="J7" s="332"/>
    </row>
    <row r="8" spans="1:10" ht="15" customHeight="1" thickBot="1">
      <c r="B8" s="23"/>
      <c r="C8" s="125" t="s">
        <v>156</v>
      </c>
      <c r="D8" s="327" t="s">
        <v>204</v>
      </c>
      <c r="E8" s="328"/>
      <c r="F8" s="328"/>
      <c r="G8" s="328"/>
      <c r="H8" s="328"/>
      <c r="I8" s="328"/>
      <c r="J8" s="328"/>
    </row>
    <row r="9" spans="1:10" ht="13.5" thickBot="1">
      <c r="B9" s="23"/>
      <c r="C9" s="1"/>
      <c r="D9" s="1"/>
      <c r="E9" s="1"/>
      <c r="F9" s="1"/>
      <c r="G9" s="1"/>
      <c r="H9" s="1"/>
    </row>
    <row r="10" spans="1:10" ht="19.899999999999999" customHeight="1" thickBot="1">
      <c r="C10" s="279" t="s">
        <v>6</v>
      </c>
      <c r="D10" s="303"/>
      <c r="E10" s="303"/>
      <c r="F10" s="303"/>
      <c r="G10" s="303"/>
      <c r="H10" s="303"/>
      <c r="I10" s="303"/>
      <c r="J10" s="303"/>
    </row>
    <row r="11" spans="1:10" ht="38.25" customHeight="1">
      <c r="C11" s="126" t="s">
        <v>10</v>
      </c>
      <c r="D11" s="331" t="s">
        <v>205</v>
      </c>
      <c r="E11" s="332"/>
      <c r="F11" s="332"/>
      <c r="G11" s="332"/>
      <c r="H11" s="332"/>
      <c r="I11" s="332"/>
      <c r="J11" s="332"/>
    </row>
    <row r="12" spans="1:10" ht="13" thickBot="1"/>
    <row r="13" spans="1:10" ht="19.899999999999999" customHeight="1" thickBot="1">
      <c r="C13" s="302" t="s">
        <v>8</v>
      </c>
      <c r="D13" s="303"/>
      <c r="E13" s="303"/>
      <c r="F13" s="303"/>
      <c r="G13" s="303"/>
      <c r="H13" s="303"/>
      <c r="I13" s="303"/>
      <c r="J13" s="303"/>
    </row>
    <row r="14" spans="1:10" ht="76.5" customHeight="1">
      <c r="C14" s="127" t="s">
        <v>9</v>
      </c>
      <c r="D14" s="331" t="s">
        <v>206</v>
      </c>
      <c r="E14" s="332"/>
      <c r="F14" s="332"/>
      <c r="G14" s="332"/>
      <c r="H14" s="332"/>
      <c r="I14" s="332"/>
      <c r="J14" s="332"/>
    </row>
    <row r="15" spans="1:10" ht="51.75" customHeight="1" thickBot="1">
      <c r="C15" s="125" t="s">
        <v>157</v>
      </c>
      <c r="D15" s="331" t="s">
        <v>246</v>
      </c>
      <c r="E15" s="332"/>
      <c r="F15" s="332"/>
      <c r="G15" s="332"/>
      <c r="H15" s="332"/>
      <c r="I15" s="332"/>
      <c r="J15" s="332"/>
    </row>
    <row r="16" spans="1:10">
      <c r="C16" s="2" t="s">
        <v>7</v>
      </c>
    </row>
    <row r="18" spans="2:10" ht="13" thickBot="1"/>
    <row r="19" spans="2:10" ht="19.899999999999999" customHeight="1" thickBot="1">
      <c r="C19" s="279" t="s">
        <v>20</v>
      </c>
      <c r="D19" s="280"/>
      <c r="E19" s="280"/>
      <c r="F19" s="280"/>
      <c r="G19" s="280"/>
      <c r="H19" s="280"/>
      <c r="I19" s="280"/>
      <c r="J19" s="280"/>
    </row>
    <row r="20" spans="2:10" ht="13">
      <c r="C20" s="6"/>
      <c r="D20" s="5"/>
      <c r="E20" s="5"/>
      <c r="F20" s="5"/>
      <c r="G20" s="5"/>
      <c r="H20" s="5"/>
      <c r="I20" s="5"/>
      <c r="J20" s="5"/>
    </row>
    <row r="21" spans="2:10" ht="13.5" thickBot="1">
      <c r="C21" s="6"/>
      <c r="D21" s="5"/>
      <c r="E21" s="5"/>
      <c r="F21" s="5"/>
      <c r="G21" s="5"/>
      <c r="H21" s="5"/>
      <c r="I21" s="5"/>
      <c r="J21" s="5"/>
    </row>
    <row r="22" spans="2:10" ht="16" thickBot="1">
      <c r="B22" s="2" t="s">
        <v>98</v>
      </c>
      <c r="C22" s="282" t="s">
        <v>21</v>
      </c>
      <c r="D22" s="283"/>
      <c r="E22" s="283"/>
      <c r="F22" s="283"/>
      <c r="G22" s="283"/>
      <c r="H22" s="283"/>
      <c r="I22" s="283"/>
      <c r="J22" s="342"/>
    </row>
    <row r="23" spans="2:10" ht="14.5" customHeight="1" thickBot="1">
      <c r="B23" s="2" t="s">
        <v>99</v>
      </c>
      <c r="C23" s="13" t="str">
        <f>D8</f>
        <v>yr</v>
      </c>
      <c r="D23" s="39" t="s">
        <v>332</v>
      </c>
      <c r="E23" s="39"/>
      <c r="F23" s="39" t="s">
        <v>330</v>
      </c>
      <c r="G23" s="39"/>
      <c r="H23" s="39" t="s">
        <v>256</v>
      </c>
      <c r="I23" s="39"/>
      <c r="J23" s="12" t="s">
        <v>86</v>
      </c>
    </row>
    <row r="24" spans="2:10" ht="38" thickBot="1">
      <c r="C24" s="112" t="s">
        <v>307</v>
      </c>
      <c r="D24" s="37">
        <v>6</v>
      </c>
      <c r="E24" s="171" t="s">
        <v>98</v>
      </c>
      <c r="F24" s="37">
        <v>5</v>
      </c>
      <c r="G24" s="171" t="s">
        <v>98</v>
      </c>
      <c r="H24" s="37">
        <v>3</v>
      </c>
      <c r="I24" s="171" t="s">
        <v>98</v>
      </c>
      <c r="J24" s="172" t="s">
        <v>341</v>
      </c>
    </row>
    <row r="25" spans="2:10" ht="13" thickBot="1">
      <c r="C25" s="112" t="s">
        <v>158</v>
      </c>
      <c r="D25" s="37"/>
      <c r="E25" s="171" t="s">
        <v>99</v>
      </c>
      <c r="F25" s="37"/>
      <c r="G25" s="171" t="s">
        <v>99</v>
      </c>
      <c r="H25" s="37"/>
      <c r="I25" s="171" t="s">
        <v>99</v>
      </c>
      <c r="J25" s="172"/>
    </row>
    <row r="26" spans="2:10" ht="13" thickBot="1">
      <c r="C26" s="112" t="s">
        <v>158</v>
      </c>
      <c r="D26" s="37"/>
      <c r="E26" s="171" t="s">
        <v>99</v>
      </c>
      <c r="F26" s="37"/>
      <c r="G26" s="171" t="s">
        <v>99</v>
      </c>
      <c r="H26" s="37"/>
      <c r="I26" s="171"/>
      <c r="J26" s="172"/>
    </row>
    <row r="27" spans="2:10" ht="13">
      <c r="C27" s="19" t="s">
        <v>16</v>
      </c>
      <c r="D27" s="313">
        <f>MIN(D24:D26)</f>
        <v>6</v>
      </c>
      <c r="E27" s="313"/>
      <c r="F27" s="313">
        <f>MIN(F24:F26)</f>
        <v>5</v>
      </c>
      <c r="G27" s="313"/>
      <c r="H27" s="313">
        <f>MIN(H24:H26)</f>
        <v>3</v>
      </c>
      <c r="I27" s="313"/>
      <c r="J27" s="173"/>
    </row>
    <row r="28" spans="2:10" ht="13.5" thickBot="1">
      <c r="C28" s="20" t="s">
        <v>17</v>
      </c>
      <c r="D28" s="359">
        <f>MAX(D24:D26)</f>
        <v>6</v>
      </c>
      <c r="E28" s="359"/>
      <c r="F28" s="359">
        <f>MAX(F24:F26)</f>
        <v>5</v>
      </c>
      <c r="G28" s="359"/>
      <c r="H28" s="359">
        <f>MAX(H24:H26)</f>
        <v>3</v>
      </c>
      <c r="I28" s="359"/>
      <c r="J28" s="172"/>
    </row>
    <row r="29" spans="2:10" ht="13.5" thickBot="1">
      <c r="C29" s="21" t="s">
        <v>72</v>
      </c>
      <c r="D29" s="338">
        <f>MEDIAN(D24:D26)</f>
        <v>6</v>
      </c>
      <c r="E29" s="338"/>
      <c r="F29" s="338">
        <f>MEDIAN(F24:F26)</f>
        <v>5</v>
      </c>
      <c r="G29" s="338"/>
      <c r="H29" s="338">
        <f>MEDIAN(H24:H26)</f>
        <v>3</v>
      </c>
      <c r="I29" s="338"/>
      <c r="J29" s="175"/>
    </row>
    <row r="30" spans="2:10" ht="13">
      <c r="C30" s="20" t="s">
        <v>19</v>
      </c>
      <c r="D30" s="313">
        <f>AVERAGEIF(E24:E26,"Y",D24:D26)</f>
        <v>6</v>
      </c>
      <c r="E30" s="313"/>
      <c r="F30" s="313">
        <f>AVERAGEIF(G24:G26,"Y",F24:F26)</f>
        <v>5</v>
      </c>
      <c r="G30" s="313"/>
      <c r="H30" s="313">
        <f>AVERAGEIF(I24:I26,"Y",H24:H26)</f>
        <v>3</v>
      </c>
      <c r="I30" s="313"/>
      <c r="J30" s="173"/>
    </row>
    <row r="31" spans="2:10" ht="13.5" thickBot="1">
      <c r="C31" s="110" t="s">
        <v>18</v>
      </c>
      <c r="D31" s="358">
        <f>D30</f>
        <v>6</v>
      </c>
      <c r="E31" s="358"/>
      <c r="F31" s="358">
        <f>F30</f>
        <v>5</v>
      </c>
      <c r="G31" s="358"/>
      <c r="H31" s="358">
        <f>H30</f>
        <v>3</v>
      </c>
      <c r="I31" s="358"/>
      <c r="J31" s="177"/>
    </row>
    <row r="32" spans="2:10" ht="13">
      <c r="C32" s="1"/>
      <c r="D32" s="3"/>
      <c r="E32" s="3"/>
      <c r="F32" s="3"/>
      <c r="G32" s="3"/>
      <c r="H32" s="3"/>
      <c r="I32" s="3"/>
      <c r="J32" s="3"/>
    </row>
    <row r="35" spans="3:10" ht="16" hidden="1" thickBot="1">
      <c r="C35" s="356" t="s">
        <v>71</v>
      </c>
      <c r="D35" s="357"/>
      <c r="E35" s="357"/>
      <c r="F35" s="357"/>
      <c r="G35" s="357"/>
      <c r="H35" s="357"/>
      <c r="I35" s="357"/>
      <c r="J35" s="357"/>
    </row>
    <row r="36" spans="3:10" ht="13.5" hidden="1" thickBot="1">
      <c r="C36" s="13" t="str">
        <f>$D$8</f>
        <v>yr</v>
      </c>
      <c r="D36" s="355" t="s">
        <v>11</v>
      </c>
      <c r="E36" s="355"/>
      <c r="F36" s="355" t="s">
        <v>12</v>
      </c>
      <c r="G36" s="355"/>
      <c r="H36" s="355" t="s">
        <v>13</v>
      </c>
      <c r="I36" s="355"/>
      <c r="J36" s="39" t="s">
        <v>14</v>
      </c>
    </row>
    <row r="37" spans="3:10" hidden="1">
      <c r="C37" s="14" t="s">
        <v>22</v>
      </c>
      <c r="D37" s="8"/>
      <c r="E37" s="8"/>
      <c r="F37" s="8"/>
      <c r="G37" s="8"/>
      <c r="H37" s="8"/>
      <c r="I37" s="8"/>
      <c r="J37" s="8"/>
    </row>
    <row r="38" spans="3:10" hidden="1">
      <c r="C38" s="15" t="s">
        <v>56</v>
      </c>
      <c r="D38" s="3"/>
      <c r="E38" s="3"/>
      <c r="F38" s="3"/>
      <c r="G38" s="3"/>
      <c r="H38" s="3"/>
      <c r="I38" s="3"/>
      <c r="J38" s="3"/>
    </row>
    <row r="39" spans="3:10" hidden="1">
      <c r="C39" s="15" t="s">
        <v>43</v>
      </c>
    </row>
    <row r="40" spans="3:10" hidden="1">
      <c r="C40" s="15" t="s">
        <v>58</v>
      </c>
    </row>
    <row r="41" spans="3:10" hidden="1">
      <c r="C41" s="15" t="s">
        <v>23</v>
      </c>
    </row>
    <row r="42" spans="3:10" hidden="1">
      <c r="C42" s="15" t="s">
        <v>25</v>
      </c>
    </row>
    <row r="43" spans="3:10" hidden="1">
      <c r="C43" s="15" t="s">
        <v>59</v>
      </c>
    </row>
    <row r="44" spans="3:10" hidden="1">
      <c r="C44" s="15" t="s">
        <v>26</v>
      </c>
    </row>
    <row r="45" spans="3:10" hidden="1">
      <c r="C45" s="15" t="s">
        <v>27</v>
      </c>
    </row>
    <row r="46" spans="3:10" hidden="1">
      <c r="C46" s="15" t="s">
        <v>44</v>
      </c>
    </row>
    <row r="47" spans="3:10" hidden="1">
      <c r="C47" s="15" t="s">
        <v>39</v>
      </c>
    </row>
    <row r="48" spans="3:10" hidden="1">
      <c r="C48" s="15" t="s">
        <v>24</v>
      </c>
    </row>
    <row r="49" spans="3:3" hidden="1">
      <c r="C49" s="15" t="s">
        <v>29</v>
      </c>
    </row>
    <row r="50" spans="3:3" hidden="1">
      <c r="C50" s="15" t="s">
        <v>40</v>
      </c>
    </row>
    <row r="51" spans="3:3" hidden="1">
      <c r="C51" s="15" t="s">
        <v>41</v>
      </c>
    </row>
    <row r="52" spans="3:3" hidden="1">
      <c r="C52" s="15" t="s">
        <v>30</v>
      </c>
    </row>
    <row r="53" spans="3:3" hidden="1">
      <c r="C53" s="15" t="s">
        <v>61</v>
      </c>
    </row>
    <row r="54" spans="3:3" hidden="1">
      <c r="C54" s="15" t="s">
        <v>62</v>
      </c>
    </row>
    <row r="55" spans="3:3" hidden="1">
      <c r="C55" s="15" t="s">
        <v>63</v>
      </c>
    </row>
    <row r="56" spans="3:3" hidden="1">
      <c r="C56" s="15" t="s">
        <v>64</v>
      </c>
    </row>
    <row r="57" spans="3:3" hidden="1">
      <c r="C57" s="15" t="s">
        <v>60</v>
      </c>
    </row>
    <row r="58" spans="3:3" hidden="1">
      <c r="C58" s="15" t="s">
        <v>31</v>
      </c>
    </row>
    <row r="59" spans="3:3" hidden="1">
      <c r="C59" s="15" t="s">
        <v>45</v>
      </c>
    </row>
    <row r="60" spans="3:3" hidden="1">
      <c r="C60" s="15" t="s">
        <v>65</v>
      </c>
    </row>
    <row r="61" spans="3:3" hidden="1">
      <c r="C61" s="15" t="s">
        <v>46</v>
      </c>
    </row>
    <row r="62" spans="3:3" hidden="1">
      <c r="C62" s="15" t="s">
        <v>47</v>
      </c>
    </row>
    <row r="63" spans="3:3" hidden="1">
      <c r="C63" s="15" t="s">
        <v>57</v>
      </c>
    </row>
    <row r="64" spans="3:3" hidden="1">
      <c r="C64" s="15" t="s">
        <v>66</v>
      </c>
    </row>
    <row r="65" spans="3:3" hidden="1">
      <c r="C65" s="15" t="s">
        <v>48</v>
      </c>
    </row>
    <row r="66" spans="3:3" hidden="1">
      <c r="C66" s="15" t="s">
        <v>49</v>
      </c>
    </row>
    <row r="67" spans="3:3" hidden="1">
      <c r="C67" s="15" t="s">
        <v>50</v>
      </c>
    </row>
    <row r="68" spans="3:3" hidden="1">
      <c r="C68" s="15" t="s">
        <v>67</v>
      </c>
    </row>
    <row r="69" spans="3:3" hidden="1">
      <c r="C69" s="15" t="s">
        <v>32</v>
      </c>
    </row>
    <row r="70" spans="3:3" hidden="1">
      <c r="C70" s="15" t="s">
        <v>28</v>
      </c>
    </row>
    <row r="71" spans="3:3" hidden="1">
      <c r="C71" s="15" t="s">
        <v>33</v>
      </c>
    </row>
    <row r="72" spans="3:3" hidden="1">
      <c r="C72" s="15" t="s">
        <v>34</v>
      </c>
    </row>
    <row r="73" spans="3:3" hidden="1">
      <c r="C73" s="15" t="s">
        <v>68</v>
      </c>
    </row>
    <row r="74" spans="3:3" hidden="1">
      <c r="C74" s="15" t="s">
        <v>51</v>
      </c>
    </row>
    <row r="75" spans="3:3" hidden="1">
      <c r="C75" s="15" t="s">
        <v>69</v>
      </c>
    </row>
    <row r="76" spans="3:3" hidden="1">
      <c r="C76" s="15" t="s">
        <v>42</v>
      </c>
    </row>
    <row r="77" spans="3:3" hidden="1">
      <c r="C77" s="15" t="s">
        <v>52</v>
      </c>
    </row>
    <row r="78" spans="3:3" hidden="1">
      <c r="C78" s="15" t="s">
        <v>38</v>
      </c>
    </row>
    <row r="79" spans="3:3" hidden="1">
      <c r="C79" s="15" t="s">
        <v>37</v>
      </c>
    </row>
    <row r="80" spans="3:3" hidden="1">
      <c r="C80" s="15" t="s">
        <v>53</v>
      </c>
    </row>
    <row r="81" spans="3:10" hidden="1">
      <c r="C81" s="15" t="s">
        <v>35</v>
      </c>
    </row>
    <row r="82" spans="3:10" hidden="1">
      <c r="C82" s="15" t="s">
        <v>70</v>
      </c>
    </row>
    <row r="83" spans="3:10" hidden="1">
      <c r="C83" s="15" t="s">
        <v>36</v>
      </c>
    </row>
    <row r="84" spans="3:10" hidden="1">
      <c r="C84" s="15" t="s">
        <v>54</v>
      </c>
    </row>
    <row r="85" spans="3:10" hidden="1">
      <c r="C85" s="15" t="s">
        <v>55</v>
      </c>
    </row>
    <row r="86" spans="3:10" ht="13" hidden="1">
      <c r="C86" s="16" t="s">
        <v>16</v>
      </c>
      <c r="D86" s="314">
        <f>MIN(D37:D85)</f>
        <v>0</v>
      </c>
      <c r="E86" s="307"/>
      <c r="F86" s="307">
        <f>MIN(F37:F85)</f>
        <v>0</v>
      </c>
      <c r="G86" s="307"/>
      <c r="H86" s="307">
        <f>MIN(H37:H85)</f>
        <v>0</v>
      </c>
      <c r="I86" s="307"/>
      <c r="J86" s="8">
        <f>MIN(J37:J85)</f>
        <v>0</v>
      </c>
    </row>
    <row r="87" spans="3:10" ht="13" hidden="1">
      <c r="C87" s="17" t="s">
        <v>17</v>
      </c>
      <c r="D87" s="351">
        <f>MAX(D37:D85)</f>
        <v>0</v>
      </c>
      <c r="E87" s="352"/>
      <c r="F87" s="352">
        <f>MAX(F37:F85)</f>
        <v>0</v>
      </c>
      <c r="G87" s="352"/>
      <c r="H87" s="352">
        <f>MAX(H37:H85)</f>
        <v>0</v>
      </c>
      <c r="I87" s="352"/>
      <c r="J87" s="3">
        <f>MAX(J37:J85)</f>
        <v>0</v>
      </c>
    </row>
    <row r="88" spans="3:10" ht="13" hidden="1">
      <c r="C88" s="17" t="s">
        <v>72</v>
      </c>
      <c r="D88" s="351" t="e">
        <f>MEDIAN(D37:D85)</f>
        <v>#NUM!</v>
      </c>
      <c r="E88" s="352"/>
      <c r="F88" s="352" t="e">
        <f>MEDIAN(F37:F85)</f>
        <v>#NUM!</v>
      </c>
      <c r="G88" s="352"/>
      <c r="H88" s="352" t="e">
        <f>MEDIAN(H37:H85)</f>
        <v>#NUM!</v>
      </c>
      <c r="I88" s="352"/>
      <c r="J88" s="3" t="e">
        <f>MEDIAN(J37:J85)</f>
        <v>#NUM!</v>
      </c>
    </row>
    <row r="89" spans="3:10" ht="13.5" hidden="1" thickBot="1">
      <c r="C89" s="18" t="s">
        <v>19</v>
      </c>
      <c r="D89" s="353" t="e">
        <f>AVERAGE(D37:D85)</f>
        <v>#DIV/0!</v>
      </c>
      <c r="E89" s="354"/>
      <c r="F89" s="354" t="e">
        <f>AVERAGE(F37:F85)</f>
        <v>#DIV/0!</v>
      </c>
      <c r="G89" s="354"/>
      <c r="H89" s="354" t="e">
        <f>AVERAGE(H37:H85)</f>
        <v>#DIV/0!</v>
      </c>
      <c r="I89" s="354"/>
      <c r="J89" s="114" t="e">
        <f>AVERAGE(J37:J85)</f>
        <v>#DIV/0!</v>
      </c>
    </row>
  </sheetData>
  <mergeCells count="45">
    <mergeCell ref="C19:J19"/>
    <mergeCell ref="F27:G27"/>
    <mergeCell ref="H27:I27"/>
    <mergeCell ref="C22:J22"/>
    <mergeCell ref="C35:J35"/>
    <mergeCell ref="D31:E31"/>
    <mergeCell ref="F31:G31"/>
    <mergeCell ref="H31:I31"/>
    <mergeCell ref="F28:G28"/>
    <mergeCell ref="H28:I28"/>
    <mergeCell ref="D29:E29"/>
    <mergeCell ref="F29:G29"/>
    <mergeCell ref="H29:I29"/>
    <mergeCell ref="D28:E28"/>
    <mergeCell ref="D36:E36"/>
    <mergeCell ref="F36:G36"/>
    <mergeCell ref="H36:I36"/>
    <mergeCell ref="D86:E86"/>
    <mergeCell ref="F86:G86"/>
    <mergeCell ref="H86:I86"/>
    <mergeCell ref="D87:E87"/>
    <mergeCell ref="F87:G87"/>
    <mergeCell ref="H87:I87"/>
    <mergeCell ref="D89:E89"/>
    <mergeCell ref="F89:G89"/>
    <mergeCell ref="H89:I89"/>
    <mergeCell ref="D88:E88"/>
    <mergeCell ref="F88:G88"/>
    <mergeCell ref="H88:I88"/>
    <mergeCell ref="C1:J1"/>
    <mergeCell ref="D30:E30"/>
    <mergeCell ref="F30:G30"/>
    <mergeCell ref="H30:I30"/>
    <mergeCell ref="C2:J2"/>
    <mergeCell ref="D4:J4"/>
    <mergeCell ref="D5:J5"/>
    <mergeCell ref="D6:J6"/>
    <mergeCell ref="D7:J7"/>
    <mergeCell ref="C13:J13"/>
    <mergeCell ref="D14:J14"/>
    <mergeCell ref="D15:J15"/>
    <mergeCell ref="D8:J8"/>
    <mergeCell ref="C10:J10"/>
    <mergeCell ref="D11:J11"/>
    <mergeCell ref="D27:E27"/>
  </mergeCells>
  <conditionalFormatting sqref="E24:E26 G24:G26 I24:I26">
    <cfRule type="cellIs" dxfId="65" priority="7" operator="equal">
      <formula>"N"</formula>
    </cfRule>
    <cfRule type="cellIs" dxfId="64" priority="8" operator="equal">
      <formula>"Y"</formula>
    </cfRule>
  </conditionalFormatting>
  <dataValidations count="1">
    <dataValidation type="list" allowBlank="1" showInputMessage="1" showErrorMessage="1" sqref="E24:E26 G24:G26 I24:I26" xr:uid="{00000000-0002-0000-0300-000000000000}">
      <formula1>$B$22:$B$23</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
    <tabColor theme="7"/>
  </sheetPr>
  <dimension ref="A1:J40"/>
  <sheetViews>
    <sheetView showGridLines="0" zoomScale="88" zoomScaleNormal="88" workbookViewId="0">
      <selection activeCell="F40" sqref="F40"/>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0" width="32.26953125" style="2" customWidth="1"/>
    <col min="11" max="16384" width="11.54296875" style="2"/>
  </cols>
  <sheetData>
    <row r="1" spans="1:10" ht="19.5" thickBot="1">
      <c r="C1" s="325" t="s">
        <v>79</v>
      </c>
      <c r="D1" s="326"/>
      <c r="E1" s="326"/>
      <c r="F1" s="326"/>
      <c r="G1" s="326"/>
      <c r="H1" s="326"/>
      <c r="I1" s="326"/>
      <c r="J1" s="326"/>
    </row>
    <row r="2" spans="1:10" ht="24" customHeight="1" thickBot="1">
      <c r="C2" s="294" t="str">
        <f>'1. Criteria'!C20</f>
        <v>LCOE</v>
      </c>
      <c r="D2" s="295"/>
      <c r="E2" s="295"/>
      <c r="F2" s="295"/>
      <c r="G2" s="295"/>
      <c r="H2" s="295"/>
      <c r="I2" s="295"/>
      <c r="J2" s="295"/>
    </row>
    <row r="3" spans="1:10" ht="13.5" thickBot="1">
      <c r="C3" s="3"/>
      <c r="D3" s="3"/>
      <c r="E3" s="3"/>
      <c r="F3" s="3"/>
      <c r="G3" s="3"/>
      <c r="H3" s="4"/>
    </row>
    <row r="4" spans="1:10" ht="32.5" customHeight="1">
      <c r="C4" s="123" t="s">
        <v>132</v>
      </c>
      <c r="D4" s="349" t="s">
        <v>275</v>
      </c>
      <c r="E4" s="350"/>
      <c r="F4" s="350"/>
      <c r="G4" s="350"/>
      <c r="H4" s="350"/>
      <c r="I4" s="350"/>
      <c r="J4" s="350"/>
    </row>
    <row r="5" spans="1:10" ht="13">
      <c r="A5" s="2" t="s">
        <v>3</v>
      </c>
      <c r="C5" s="124" t="s">
        <v>1</v>
      </c>
      <c r="D5" s="331" t="s">
        <v>102</v>
      </c>
      <c r="E5" s="332"/>
      <c r="F5" s="332"/>
      <c r="G5" s="332"/>
      <c r="H5" s="332"/>
      <c r="I5" s="332"/>
      <c r="J5" s="332"/>
    </row>
    <row r="6" spans="1:10" ht="13">
      <c r="C6" s="124" t="s">
        <v>4</v>
      </c>
      <c r="D6" s="331" t="s">
        <v>137</v>
      </c>
      <c r="E6" s="332"/>
      <c r="F6" s="332"/>
      <c r="G6" s="332"/>
      <c r="H6" s="332"/>
      <c r="I6" s="332"/>
      <c r="J6" s="332"/>
    </row>
    <row r="7" spans="1:10" ht="13">
      <c r="C7" s="124" t="s">
        <v>2</v>
      </c>
      <c r="D7" s="331" t="s">
        <v>107</v>
      </c>
      <c r="E7" s="332"/>
      <c r="F7" s="332"/>
      <c r="G7" s="332"/>
      <c r="H7" s="332"/>
      <c r="I7" s="332"/>
      <c r="J7" s="332"/>
    </row>
    <row r="8" spans="1:10" ht="15" customHeight="1" thickBot="1">
      <c r="B8" s="23" t="s">
        <v>110</v>
      </c>
      <c r="C8" s="125" t="s">
        <v>5</v>
      </c>
      <c r="D8" s="327" t="s">
        <v>274</v>
      </c>
      <c r="E8" s="328"/>
      <c r="F8" s="328"/>
      <c r="G8" s="328"/>
      <c r="H8" s="328"/>
      <c r="I8" s="328"/>
      <c r="J8" s="328"/>
    </row>
    <row r="9" spans="1:10" ht="13.5" thickBot="1">
      <c r="C9" s="1"/>
      <c r="D9" s="1"/>
      <c r="E9" s="1"/>
      <c r="F9" s="1"/>
      <c r="G9" s="1"/>
      <c r="H9" s="1"/>
    </row>
    <row r="10" spans="1:10" ht="19.899999999999999" customHeight="1" thickBot="1">
      <c r="C10" s="279" t="s">
        <v>6</v>
      </c>
      <c r="D10" s="303"/>
      <c r="E10" s="303"/>
      <c r="F10" s="303"/>
      <c r="G10" s="303"/>
      <c r="H10" s="303"/>
      <c r="I10" s="303"/>
      <c r="J10" s="303"/>
    </row>
    <row r="11" spans="1:10" ht="69" customHeight="1">
      <c r="C11" s="126" t="s">
        <v>10</v>
      </c>
      <c r="D11" s="333" t="s">
        <v>207</v>
      </c>
      <c r="E11" s="334"/>
      <c r="F11" s="334"/>
      <c r="G11" s="334"/>
      <c r="H11" s="334"/>
      <c r="I11" s="334"/>
      <c r="J11" s="334"/>
    </row>
    <row r="12" spans="1:10" ht="13" thickBot="1"/>
    <row r="13" spans="1:10" ht="19.899999999999999" customHeight="1" thickBot="1">
      <c r="C13" s="302" t="s">
        <v>8</v>
      </c>
      <c r="D13" s="303"/>
      <c r="E13" s="303"/>
      <c r="F13" s="303"/>
      <c r="G13" s="303"/>
      <c r="H13" s="303"/>
      <c r="I13" s="303"/>
      <c r="J13" s="303"/>
    </row>
    <row r="14" spans="1:10" ht="101.15" customHeight="1" thickBot="1">
      <c r="C14" s="127" t="s">
        <v>9</v>
      </c>
      <c r="D14" s="333" t="s">
        <v>208</v>
      </c>
      <c r="E14" s="334"/>
      <c r="F14" s="334"/>
      <c r="G14" s="334"/>
      <c r="H14" s="334"/>
      <c r="I14" s="334"/>
      <c r="J14" s="334"/>
    </row>
    <row r="15" spans="1:10" ht="49.5" customHeight="1" thickBot="1">
      <c r="C15" s="125" t="s">
        <v>157</v>
      </c>
      <c r="D15" s="333" t="s">
        <v>240</v>
      </c>
      <c r="E15" s="334"/>
      <c r="F15" s="334"/>
      <c r="G15" s="334"/>
      <c r="H15" s="334"/>
      <c r="I15" s="334"/>
      <c r="J15" s="334"/>
    </row>
    <row r="16" spans="1:10">
      <c r="C16" s="2" t="s">
        <v>7</v>
      </c>
    </row>
    <row r="17" spans="2:10" ht="13" thickBot="1"/>
    <row r="18" spans="2:10" ht="19.899999999999999" customHeight="1" thickBot="1">
      <c r="C18" s="279" t="s">
        <v>20</v>
      </c>
      <c r="D18" s="280"/>
      <c r="E18" s="280"/>
      <c r="F18" s="280"/>
      <c r="G18" s="280"/>
      <c r="H18" s="280"/>
      <c r="I18" s="280"/>
      <c r="J18" s="280"/>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25.5" customHeight="1" thickBot="1">
      <c r="B21" s="2" t="s">
        <v>99</v>
      </c>
      <c r="C21" s="13" t="str">
        <f>$D$8</f>
        <v>€/kWh</v>
      </c>
      <c r="D21" s="355" t="s">
        <v>332</v>
      </c>
      <c r="E21" s="355"/>
      <c r="F21" s="355" t="s">
        <v>330</v>
      </c>
      <c r="G21" s="355"/>
      <c r="H21" s="355" t="s">
        <v>256</v>
      </c>
      <c r="I21" s="355"/>
      <c r="J21" s="12" t="s">
        <v>86</v>
      </c>
    </row>
    <row r="22" spans="2:10" ht="25.5" thickBot="1">
      <c r="C22" s="112" t="s">
        <v>307</v>
      </c>
      <c r="D22" s="183">
        <v>0.38</v>
      </c>
      <c r="E22" s="171" t="s">
        <v>98</v>
      </c>
      <c r="F22" s="38"/>
      <c r="G22" s="171" t="s">
        <v>98</v>
      </c>
      <c r="H22" s="38"/>
      <c r="I22" s="171" t="s">
        <v>99</v>
      </c>
      <c r="J22" s="172" t="s">
        <v>342</v>
      </c>
    </row>
    <row r="23" spans="2:10" ht="38" thickBot="1">
      <c r="C23" s="112" t="s">
        <v>343</v>
      </c>
      <c r="D23" s="183"/>
      <c r="E23" s="171" t="s">
        <v>99</v>
      </c>
      <c r="F23" s="38">
        <v>0.99</v>
      </c>
      <c r="G23" s="171" t="s">
        <v>98</v>
      </c>
      <c r="H23" s="38"/>
      <c r="I23" s="171"/>
      <c r="J23" s="172" t="s">
        <v>344</v>
      </c>
    </row>
    <row r="24" spans="2:10" ht="25.5" thickBot="1">
      <c r="C24" s="112" t="s">
        <v>307</v>
      </c>
      <c r="D24" s="183"/>
      <c r="E24" s="171" t="s">
        <v>98</v>
      </c>
      <c r="F24" s="38"/>
      <c r="G24" s="171"/>
      <c r="H24" s="38">
        <v>0.22</v>
      </c>
      <c r="I24" s="171" t="s">
        <v>98</v>
      </c>
      <c r="J24" s="172" t="s">
        <v>345</v>
      </c>
    </row>
    <row r="25" spans="2:10" ht="13" thickBot="1">
      <c r="C25" s="112"/>
      <c r="D25" s="183"/>
      <c r="E25" s="171"/>
      <c r="F25" s="38"/>
      <c r="G25" s="171"/>
      <c r="H25" s="38"/>
      <c r="I25" s="171"/>
      <c r="J25" s="172"/>
    </row>
    <row r="26" spans="2:10" ht="13" thickBot="1">
      <c r="C26" s="112"/>
      <c r="D26" s="183"/>
      <c r="E26" s="171"/>
      <c r="F26" s="38"/>
      <c r="G26" s="171"/>
      <c r="H26" s="38"/>
      <c r="I26" s="171"/>
      <c r="J26" s="172"/>
    </row>
    <row r="27" spans="2:10">
      <c r="C27" s="112"/>
      <c r="D27" s="183"/>
      <c r="E27" s="171"/>
      <c r="F27" s="38"/>
      <c r="G27" s="171"/>
      <c r="H27" s="38"/>
      <c r="I27" s="171"/>
      <c r="J27" s="172"/>
    </row>
    <row r="28" spans="2:10">
      <c r="C28" s="199"/>
      <c r="D28" s="183"/>
      <c r="E28" s="171"/>
      <c r="F28" s="38"/>
      <c r="G28" s="171"/>
      <c r="H28" s="38"/>
      <c r="I28" s="171"/>
      <c r="J28" s="172"/>
    </row>
    <row r="29" spans="2:10" ht="13" thickBot="1">
      <c r="C29" s="113"/>
      <c r="D29" s="38"/>
      <c r="E29" s="171"/>
      <c r="F29" s="38"/>
      <c r="G29" s="171"/>
      <c r="H29" s="38"/>
      <c r="I29" s="171"/>
      <c r="J29" s="172"/>
    </row>
    <row r="30" spans="2:10" ht="13">
      <c r="C30" s="19" t="s">
        <v>16</v>
      </c>
      <c r="D30" s="307">
        <f>MIN(D22:D29)</f>
        <v>0.38</v>
      </c>
      <c r="E30" s="307"/>
      <c r="F30" s="307">
        <f>MIN(F22:F29)</f>
        <v>0.99</v>
      </c>
      <c r="G30" s="307"/>
      <c r="H30" s="307">
        <f>MIN(H22:H29)</f>
        <v>0.22</v>
      </c>
      <c r="I30" s="307"/>
      <c r="J30" s="9"/>
    </row>
    <row r="31" spans="2:10" ht="13.5" thickBot="1">
      <c r="C31" s="20" t="s">
        <v>17</v>
      </c>
      <c r="D31" s="352">
        <f>MAX(D22:D29)</f>
        <v>0.38</v>
      </c>
      <c r="E31" s="352"/>
      <c r="F31" s="352">
        <f>MAX(F22:F29)</f>
        <v>0.99</v>
      </c>
      <c r="G31" s="352"/>
      <c r="H31" s="352">
        <f>MAX(H22:H29)</f>
        <v>0.22</v>
      </c>
      <c r="I31" s="352"/>
      <c r="J31" s="7"/>
    </row>
    <row r="32" spans="2:10" ht="13.5" thickBot="1">
      <c r="C32" s="21" t="s">
        <v>72</v>
      </c>
      <c r="D32" s="274">
        <f>MEDIAN(D22:D29)</f>
        <v>0.38</v>
      </c>
      <c r="E32" s="274"/>
      <c r="F32" s="274">
        <f>MEDIAN(F22:F29)</f>
        <v>0.99</v>
      </c>
      <c r="G32" s="274"/>
      <c r="H32" s="274">
        <f>MEDIAN(H14:H29)</f>
        <v>0.22</v>
      </c>
      <c r="I32" s="274"/>
      <c r="J32" s="175"/>
    </row>
    <row r="33" spans="3:10" ht="13.5" thickBot="1">
      <c r="C33" s="20" t="s">
        <v>19</v>
      </c>
      <c r="D33" s="274">
        <f>AVERAGEIF(E14:E29,"Y",D14:D29)</f>
        <v>0.38</v>
      </c>
      <c r="E33" s="274"/>
      <c r="F33" s="274">
        <f>AVERAGEIF(G14:G29,"Y",F14:F29)</f>
        <v>0.99</v>
      </c>
      <c r="G33" s="274"/>
      <c r="H33" s="274">
        <f>AVERAGEIF(I14:I29,"Y",H14:H29)</f>
        <v>0.22</v>
      </c>
      <c r="I33" s="274"/>
      <c r="J33" s="175"/>
    </row>
    <row r="34" spans="3:10" ht="13.5" thickBot="1">
      <c r="C34" s="21" t="s">
        <v>18</v>
      </c>
      <c r="D34" s="276">
        <f>D33</f>
        <v>0.38</v>
      </c>
      <c r="E34" s="276"/>
      <c r="F34" s="276">
        <f t="shared" ref="F34" si="0">F33</f>
        <v>0.99</v>
      </c>
      <c r="G34" s="276"/>
      <c r="H34" s="276">
        <f t="shared" ref="H34" si="1">H33</f>
        <v>0.22</v>
      </c>
      <c r="I34" s="276"/>
      <c r="J34" s="176"/>
    </row>
    <row r="35" spans="3:10" ht="13">
      <c r="C35" s="1"/>
      <c r="D35" s="3"/>
      <c r="E35" s="3"/>
      <c r="F35" s="3"/>
      <c r="G35" s="3"/>
      <c r="H35" s="3"/>
      <c r="I35" s="3"/>
      <c r="J35" s="3"/>
    </row>
    <row r="39" spans="3:10" ht="13" thickBot="1"/>
    <row r="40" spans="3:10">
      <c r="F40" s="112"/>
    </row>
  </sheetData>
  <mergeCells count="32">
    <mergeCell ref="C2:J2"/>
    <mergeCell ref="D4:J4"/>
    <mergeCell ref="D5:J5"/>
    <mergeCell ref="D6:J6"/>
    <mergeCell ref="D7:J7"/>
    <mergeCell ref="F21:G21"/>
    <mergeCell ref="H21:I21"/>
    <mergeCell ref="D8:J8"/>
    <mergeCell ref="C10:J10"/>
    <mergeCell ref="D11:J11"/>
    <mergeCell ref="D34:E34"/>
    <mergeCell ref="F34:G34"/>
    <mergeCell ref="H34:I34"/>
    <mergeCell ref="D31:E31"/>
    <mergeCell ref="F31:G31"/>
    <mergeCell ref="H31:I31"/>
    <mergeCell ref="C1:J1"/>
    <mergeCell ref="D33:E33"/>
    <mergeCell ref="F33:G33"/>
    <mergeCell ref="H33:I33"/>
    <mergeCell ref="D32:E32"/>
    <mergeCell ref="F32:G32"/>
    <mergeCell ref="H32:I32"/>
    <mergeCell ref="D30:E30"/>
    <mergeCell ref="F30:G30"/>
    <mergeCell ref="H30:I30"/>
    <mergeCell ref="C13:J13"/>
    <mergeCell ref="D14:J14"/>
    <mergeCell ref="D15:J15"/>
    <mergeCell ref="C18:J18"/>
    <mergeCell ref="C20:J20"/>
    <mergeCell ref="D21:E21"/>
  </mergeCells>
  <conditionalFormatting sqref="G22:G29 E22:E29 I22:I29">
    <cfRule type="cellIs" dxfId="63" priority="3" operator="equal">
      <formula>"N"</formula>
    </cfRule>
    <cfRule type="cellIs" dxfId="62" priority="4" operator="equal">
      <formula>"Y"</formula>
    </cfRule>
  </conditionalFormatting>
  <dataValidations count="1">
    <dataValidation type="list" allowBlank="1" showInputMessage="1" showErrorMessage="1" sqref="G22:G29 E22:E29 I22:I29" xr:uid="{00000000-0002-0000-0400-000000000000}">
      <formula1>$B$20:$B$21</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0578B-938F-4F6B-B11A-A359EDBEA840}">
  <sheetPr codeName="Feuil29">
    <tabColor theme="7"/>
  </sheetPr>
  <dimension ref="A1:J33"/>
  <sheetViews>
    <sheetView showGridLines="0" zoomScale="88" zoomScaleNormal="88" workbookViewId="0">
      <selection activeCell="F32" sqref="F32:G32"/>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54.65" customHeight="1" thickBot="1">
      <c r="C1" s="325" t="s">
        <v>261</v>
      </c>
      <c r="D1" s="326"/>
      <c r="E1" s="326"/>
      <c r="F1" s="326"/>
      <c r="G1" s="326"/>
      <c r="H1" s="326"/>
      <c r="I1" s="326"/>
      <c r="J1" s="326"/>
    </row>
    <row r="2" spans="1:10" ht="24" customHeight="1" thickBot="1">
      <c r="C2" s="294" t="s">
        <v>262</v>
      </c>
      <c r="D2" s="295"/>
      <c r="E2" s="295"/>
      <c r="F2" s="295"/>
      <c r="G2" s="295"/>
      <c r="H2" s="295"/>
      <c r="I2" s="295"/>
      <c r="J2" s="295"/>
    </row>
    <row r="3" spans="1:10" ht="13.5" thickBot="1">
      <c r="C3" s="3"/>
      <c r="D3" s="3"/>
      <c r="E3" s="3"/>
      <c r="F3" s="3"/>
      <c r="G3" s="3"/>
      <c r="H3" s="4"/>
    </row>
    <row r="4" spans="1:10" ht="74.5" customHeight="1">
      <c r="C4" s="123" t="s">
        <v>132</v>
      </c>
      <c r="D4" s="333" t="s">
        <v>268</v>
      </c>
      <c r="E4" s="334"/>
      <c r="F4" s="334"/>
      <c r="G4" s="334"/>
      <c r="H4" s="334"/>
      <c r="I4" s="334"/>
      <c r="J4" s="334"/>
    </row>
    <row r="5" spans="1:10" ht="13">
      <c r="A5" s="2" t="s">
        <v>3</v>
      </c>
      <c r="C5" s="124" t="s">
        <v>1</v>
      </c>
      <c r="D5" s="331" t="s">
        <v>102</v>
      </c>
      <c r="E5" s="332"/>
      <c r="F5" s="332"/>
      <c r="G5" s="332"/>
      <c r="H5" s="332"/>
      <c r="I5" s="332"/>
      <c r="J5" s="332"/>
    </row>
    <row r="6" spans="1:10" ht="13">
      <c r="C6" s="124" t="s">
        <v>4</v>
      </c>
      <c r="D6" s="329" t="s">
        <v>137</v>
      </c>
      <c r="E6" s="330"/>
      <c r="F6" s="330"/>
      <c r="G6" s="330"/>
      <c r="H6" s="330"/>
      <c r="I6" s="330"/>
      <c r="J6" s="330"/>
    </row>
    <row r="7" spans="1:10" ht="13">
      <c r="C7" s="124" t="s">
        <v>2</v>
      </c>
      <c r="D7" s="331" t="s">
        <v>107</v>
      </c>
      <c r="E7" s="332"/>
      <c r="F7" s="332"/>
      <c r="G7" s="332"/>
      <c r="H7" s="332"/>
      <c r="I7" s="332"/>
      <c r="J7" s="332"/>
    </row>
    <row r="8" spans="1:10" ht="15" customHeight="1" thickBot="1">
      <c r="B8" s="23"/>
      <c r="C8" s="125" t="s">
        <v>156</v>
      </c>
      <c r="D8" s="327" t="s">
        <v>269</v>
      </c>
      <c r="E8" s="328"/>
      <c r="F8" s="328"/>
      <c r="G8" s="328"/>
      <c r="H8" s="328"/>
      <c r="I8" s="328"/>
      <c r="J8" s="328"/>
    </row>
    <row r="9" spans="1:10" ht="13.5" thickBot="1">
      <c r="C9" s="1"/>
      <c r="D9" s="1"/>
      <c r="E9" s="1"/>
      <c r="F9" s="1"/>
      <c r="G9" s="1"/>
      <c r="H9" s="1"/>
    </row>
    <row r="10" spans="1:10" ht="19.899999999999999" customHeight="1" thickBot="1">
      <c r="C10" s="302" t="s">
        <v>6</v>
      </c>
      <c r="D10" s="303"/>
      <c r="E10" s="303"/>
      <c r="F10" s="303"/>
      <c r="G10" s="303"/>
      <c r="H10" s="303"/>
      <c r="I10" s="303"/>
      <c r="J10" s="303"/>
    </row>
    <row r="11" spans="1:10" ht="56" customHeight="1">
      <c r="C11" s="126" t="s">
        <v>10</v>
      </c>
      <c r="D11" s="333" t="s">
        <v>270</v>
      </c>
      <c r="E11" s="334"/>
      <c r="F11" s="334"/>
      <c r="G11" s="334"/>
      <c r="H11" s="334"/>
      <c r="I11" s="334"/>
      <c r="J11" s="334"/>
    </row>
    <row r="12" spans="1:10" ht="13" thickBot="1"/>
    <row r="13" spans="1:10" ht="19.899999999999999" customHeight="1" thickBot="1">
      <c r="C13" s="302" t="s">
        <v>8</v>
      </c>
      <c r="D13" s="303"/>
      <c r="E13" s="303"/>
      <c r="F13" s="303"/>
      <c r="G13" s="303"/>
      <c r="H13" s="303"/>
      <c r="I13" s="303"/>
      <c r="J13" s="303"/>
    </row>
    <row r="14" spans="1:10" ht="38.5" customHeight="1" thickBot="1">
      <c r="C14" s="127" t="s">
        <v>9</v>
      </c>
      <c r="D14" s="333" t="s">
        <v>271</v>
      </c>
      <c r="E14" s="334"/>
      <c r="F14" s="334"/>
      <c r="G14" s="334"/>
      <c r="H14" s="334"/>
      <c r="I14" s="334"/>
      <c r="J14" s="334"/>
    </row>
    <row r="15" spans="1:10" ht="37" customHeight="1" thickBot="1">
      <c r="C15" s="125" t="s">
        <v>157</v>
      </c>
      <c r="D15" s="333" t="s">
        <v>272</v>
      </c>
      <c r="E15" s="334"/>
      <c r="F15" s="334"/>
      <c r="G15" s="334"/>
      <c r="H15" s="334"/>
      <c r="I15" s="334"/>
      <c r="J15" s="334"/>
    </row>
    <row r="16" spans="1:10">
      <c r="C16" s="2" t="s">
        <v>7</v>
      </c>
    </row>
    <row r="17" spans="2:10" ht="13" thickBot="1"/>
    <row r="18" spans="2:10" ht="19.899999999999999" customHeight="1" thickBot="1">
      <c r="C18" s="279" t="s">
        <v>20</v>
      </c>
      <c r="D18" s="280"/>
      <c r="E18" s="280"/>
      <c r="F18" s="280"/>
      <c r="G18" s="280"/>
      <c r="H18" s="280"/>
      <c r="I18" s="280"/>
      <c r="J18" s="280"/>
    </row>
    <row r="19" spans="2:10" ht="13.5" thickBot="1">
      <c r="C19" s="6"/>
      <c r="D19" s="5"/>
      <c r="E19" s="5"/>
      <c r="F19" s="5"/>
      <c r="G19" s="5"/>
      <c r="H19" s="5"/>
      <c r="I19" s="5"/>
      <c r="J19" s="5"/>
    </row>
    <row r="20" spans="2:10" ht="16" thickBot="1">
      <c r="B20" s="2" t="s">
        <v>98</v>
      </c>
      <c r="C20" s="282" t="s">
        <v>21</v>
      </c>
      <c r="D20" s="283"/>
      <c r="E20" s="283"/>
      <c r="F20" s="283"/>
      <c r="G20" s="283"/>
      <c r="H20" s="283"/>
      <c r="I20" s="283"/>
      <c r="J20" s="283"/>
    </row>
    <row r="21" spans="2:10" ht="20.5" customHeight="1" thickBot="1">
      <c r="B21" s="2" t="s">
        <v>99</v>
      </c>
      <c r="C21" s="13" t="str">
        <f>$D$8</f>
        <v>€/kW/yr</v>
      </c>
      <c r="D21" s="39" t="s">
        <v>332</v>
      </c>
      <c r="E21" s="39"/>
      <c r="F21" s="39" t="s">
        <v>330</v>
      </c>
      <c r="G21" s="39"/>
      <c r="H21" s="39" t="s">
        <v>256</v>
      </c>
      <c r="I21" s="39"/>
      <c r="J21" s="12" t="s">
        <v>86</v>
      </c>
    </row>
    <row r="22" spans="2:10" ht="25.5" thickBot="1">
      <c r="C22" s="112" t="s">
        <v>307</v>
      </c>
      <c r="D22" s="38">
        <v>17.765999999999998</v>
      </c>
      <c r="E22" s="34" t="s">
        <v>98</v>
      </c>
      <c r="F22" s="38"/>
      <c r="G22" s="34" t="s">
        <v>98</v>
      </c>
      <c r="H22" s="38"/>
      <c r="I22" s="34" t="s">
        <v>98</v>
      </c>
      <c r="J22" s="33" t="s">
        <v>346</v>
      </c>
    </row>
    <row r="23" spans="2:10" ht="25.5" thickBot="1">
      <c r="C23" s="112" t="s">
        <v>307</v>
      </c>
      <c r="D23" s="38"/>
      <c r="E23" s="34"/>
      <c r="F23" s="38">
        <v>135</v>
      </c>
      <c r="G23" s="34" t="s">
        <v>98</v>
      </c>
      <c r="H23" s="38"/>
      <c r="I23" s="34"/>
      <c r="J23" s="33" t="s">
        <v>347</v>
      </c>
    </row>
    <row r="24" spans="2:10" ht="25.5" thickBot="1">
      <c r="C24" s="112" t="s">
        <v>307</v>
      </c>
      <c r="D24" s="38"/>
      <c r="E24" s="34"/>
      <c r="F24" s="38"/>
      <c r="G24" s="34"/>
      <c r="H24" s="38">
        <v>135</v>
      </c>
      <c r="I24" s="34" t="s">
        <v>98</v>
      </c>
      <c r="J24" s="33" t="s">
        <v>347</v>
      </c>
    </row>
    <row r="25" spans="2:10" ht="13" thickBot="1">
      <c r="C25" s="112"/>
      <c r="D25" s="38"/>
      <c r="E25" s="34"/>
      <c r="F25" s="38"/>
      <c r="G25" s="34"/>
      <c r="H25" s="38"/>
      <c r="I25" s="34"/>
      <c r="J25" s="33"/>
    </row>
    <row r="26" spans="2:10" ht="13.5" thickBot="1">
      <c r="C26" s="128" t="s">
        <v>158</v>
      </c>
      <c r="D26" s="38"/>
      <c r="E26" s="34"/>
      <c r="F26" s="38"/>
      <c r="G26" s="34"/>
      <c r="H26" s="38"/>
      <c r="I26" s="34"/>
      <c r="J26" s="33"/>
    </row>
    <row r="27" spans="2:10" ht="13.5" thickBot="1">
      <c r="C27" s="128" t="s">
        <v>158</v>
      </c>
      <c r="D27" s="38"/>
      <c r="E27" s="34"/>
      <c r="F27" s="38"/>
      <c r="G27" s="34"/>
      <c r="H27" s="38"/>
      <c r="I27" s="34"/>
      <c r="J27" s="33"/>
    </row>
    <row r="28" spans="2:10" ht="13">
      <c r="C28" s="19" t="s">
        <v>16</v>
      </c>
      <c r="D28" s="286">
        <f>MIN(D22:D27)</f>
        <v>17.765999999999998</v>
      </c>
      <c r="E28" s="287"/>
      <c r="F28" s="287">
        <f>MIN(F22:F27)</f>
        <v>135</v>
      </c>
      <c r="G28" s="287"/>
      <c r="H28" s="287">
        <f>MIN(H22:H27)</f>
        <v>135</v>
      </c>
      <c r="I28" s="287"/>
      <c r="J28" s="167"/>
    </row>
    <row r="29" spans="2:10" ht="13.5" thickBot="1">
      <c r="C29" s="20" t="s">
        <v>17</v>
      </c>
      <c r="D29" s="277">
        <f>MAX(D22:D27)</f>
        <v>17.765999999999998</v>
      </c>
      <c r="E29" s="278"/>
      <c r="F29" s="278">
        <f>MAX(F22:F27)</f>
        <v>135</v>
      </c>
      <c r="G29" s="278"/>
      <c r="H29" s="278">
        <f>MAX(H22:H27)</f>
        <v>135</v>
      </c>
      <c r="I29" s="278"/>
      <c r="J29" s="168"/>
    </row>
    <row r="30" spans="2:10" ht="13.5" thickBot="1">
      <c r="C30" s="21" t="s">
        <v>72</v>
      </c>
      <c r="D30" s="273">
        <f>MEDIAN(D22:D27)</f>
        <v>17.765999999999998</v>
      </c>
      <c r="E30" s="274"/>
      <c r="F30" s="274">
        <f>MEDIAN(F22:F27)</f>
        <v>135</v>
      </c>
      <c r="G30" s="274"/>
      <c r="H30" s="274">
        <f>MEDIAN(H22:H27)</f>
        <v>135</v>
      </c>
      <c r="I30" s="274"/>
      <c r="J30" s="169"/>
    </row>
    <row r="31" spans="2:10" ht="13.5" thickBot="1">
      <c r="C31" s="20" t="s">
        <v>19</v>
      </c>
      <c r="D31" s="273">
        <f>AVERAGEIF(E22:E27,"Y",D22:D27)</f>
        <v>17.765999999999998</v>
      </c>
      <c r="E31" s="274"/>
      <c r="F31" s="274">
        <f>AVERAGEIF(G22:G27,"Y",F22:F27)</f>
        <v>135</v>
      </c>
      <c r="G31" s="274"/>
      <c r="H31" s="274">
        <f>AVERAGEIF(I22:I27,"Y",H22:H27)</f>
        <v>135</v>
      </c>
      <c r="I31" s="274"/>
      <c r="J31" s="169"/>
    </row>
    <row r="32" spans="2:10" ht="13.5" thickBot="1">
      <c r="C32" s="21" t="s">
        <v>18</v>
      </c>
      <c r="D32" s="275">
        <f>D31</f>
        <v>17.765999999999998</v>
      </c>
      <c r="E32" s="276"/>
      <c r="F32" s="275">
        <f t="shared" ref="F32" si="0">F31</f>
        <v>135</v>
      </c>
      <c r="G32" s="276"/>
      <c r="H32" s="275">
        <f t="shared" ref="H32" si="1">H31</f>
        <v>135</v>
      </c>
      <c r="I32" s="276"/>
      <c r="J32" s="170"/>
    </row>
    <row r="33" spans="3:10" ht="13">
      <c r="C33" s="1"/>
      <c r="D33" s="3"/>
      <c r="E33" s="3"/>
      <c r="F33" s="3"/>
      <c r="G33" s="3"/>
      <c r="H33" s="3"/>
      <c r="I33" s="3"/>
      <c r="J33" s="3"/>
    </row>
  </sheetData>
  <mergeCells count="29">
    <mergeCell ref="D7:J7"/>
    <mergeCell ref="C1:J1"/>
    <mergeCell ref="C2:J2"/>
    <mergeCell ref="D4:J4"/>
    <mergeCell ref="D5:J5"/>
    <mergeCell ref="D6:J6"/>
    <mergeCell ref="D29:E29"/>
    <mergeCell ref="F29:G29"/>
    <mergeCell ref="H29:I29"/>
    <mergeCell ref="D8:J8"/>
    <mergeCell ref="C10:J10"/>
    <mergeCell ref="D11:J11"/>
    <mergeCell ref="C13:J13"/>
    <mergeCell ref="D14:J14"/>
    <mergeCell ref="D15:J15"/>
    <mergeCell ref="C18:J18"/>
    <mergeCell ref="C20:J20"/>
    <mergeCell ref="D28:E28"/>
    <mergeCell ref="F28:G28"/>
    <mergeCell ref="H28:I28"/>
    <mergeCell ref="D32:E32"/>
    <mergeCell ref="F32:G32"/>
    <mergeCell ref="H32:I32"/>
    <mergeCell ref="D30:E30"/>
    <mergeCell ref="F30:G30"/>
    <mergeCell ref="H30:I30"/>
    <mergeCell ref="D31:E31"/>
    <mergeCell ref="F31:G31"/>
    <mergeCell ref="H31:I31"/>
  </mergeCells>
  <conditionalFormatting sqref="E22:E27 I22:I27 G22:G27">
    <cfRule type="cellIs" dxfId="61" priority="1" operator="equal">
      <formula>"N"</formula>
    </cfRule>
    <cfRule type="cellIs" dxfId="60" priority="2" operator="equal">
      <formula>"Y"</formula>
    </cfRule>
  </conditionalFormatting>
  <dataValidations count="1">
    <dataValidation type="list" allowBlank="1" showInputMessage="1" showErrorMessage="1" sqref="E22:E27 I22:I27 G22:G27" xr:uid="{AADC4AEB-3CC5-4C59-A6C0-3BC8CF9B8127}">
      <formula1>$B$20:$B$21</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7">
    <tabColor theme="9"/>
  </sheetPr>
  <dimension ref="A1:K33"/>
  <sheetViews>
    <sheetView showGridLines="0" topLeftCell="A11" zoomScale="88" zoomScaleNormal="88" workbookViewId="0">
      <selection activeCell="F33" sqref="F33"/>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20" width="11.54296875" style="2"/>
    <col min="21" max="21" width="12.81640625" style="2" bestFit="1" customWidth="1"/>
    <col min="22" max="16384" width="11.54296875" style="2"/>
  </cols>
  <sheetData>
    <row r="1" spans="1:10" ht="19.5" thickBot="1">
      <c r="C1" s="360" t="s">
        <v>0</v>
      </c>
      <c r="D1" s="361"/>
      <c r="E1" s="361"/>
      <c r="F1" s="361"/>
      <c r="G1" s="361"/>
      <c r="H1" s="361"/>
      <c r="I1" s="361"/>
      <c r="J1" s="361"/>
    </row>
    <row r="2" spans="1:10" ht="24" customHeight="1" thickBot="1">
      <c r="C2" s="294" t="str">
        <f>'1. Criteria'!C13</f>
        <v>Land use</v>
      </c>
      <c r="D2" s="295"/>
      <c r="E2" s="295"/>
      <c r="F2" s="295"/>
      <c r="G2" s="295"/>
      <c r="H2" s="295"/>
      <c r="I2" s="295"/>
      <c r="J2" s="295"/>
    </row>
    <row r="3" spans="1:10" ht="13.5" thickBot="1">
      <c r="C3" s="3"/>
      <c r="D3" s="3"/>
      <c r="E3" s="3"/>
      <c r="F3" s="3"/>
      <c r="G3" s="3"/>
      <c r="H3" s="4"/>
    </row>
    <row r="4" spans="1:10" ht="24" customHeight="1">
      <c r="C4" s="123" t="s">
        <v>132</v>
      </c>
      <c r="D4" s="349" t="s">
        <v>185</v>
      </c>
      <c r="E4" s="350"/>
      <c r="F4" s="350"/>
      <c r="G4" s="350"/>
      <c r="H4" s="350"/>
      <c r="I4" s="350"/>
      <c r="J4" s="350"/>
    </row>
    <row r="5" spans="1:10" ht="13">
      <c r="A5" s="2" t="s">
        <v>3</v>
      </c>
      <c r="C5" s="124" t="s">
        <v>1</v>
      </c>
      <c r="D5" s="331" t="s">
        <v>100</v>
      </c>
      <c r="E5" s="332"/>
      <c r="F5" s="332"/>
      <c r="G5" s="332"/>
      <c r="H5" s="332"/>
      <c r="I5" s="332"/>
      <c r="J5" s="332"/>
    </row>
    <row r="6" spans="1:10" ht="36.65" customHeight="1">
      <c r="C6" s="124" t="s">
        <v>4</v>
      </c>
      <c r="D6" s="331" t="s">
        <v>183</v>
      </c>
      <c r="E6" s="332"/>
      <c r="F6" s="332"/>
      <c r="G6" s="332"/>
      <c r="H6" s="332"/>
      <c r="I6" s="332"/>
      <c r="J6" s="332"/>
    </row>
    <row r="7" spans="1:10" ht="13">
      <c r="C7" s="124" t="s">
        <v>2</v>
      </c>
      <c r="D7" s="331" t="s">
        <v>107</v>
      </c>
      <c r="E7" s="332"/>
      <c r="F7" s="332"/>
      <c r="G7" s="332"/>
      <c r="H7" s="332"/>
      <c r="I7" s="332"/>
      <c r="J7" s="332"/>
    </row>
    <row r="8" spans="1:10" ht="15" customHeight="1" thickBot="1">
      <c r="B8" s="23"/>
      <c r="C8" s="125" t="s">
        <v>131</v>
      </c>
      <c r="D8" s="327" t="s">
        <v>184</v>
      </c>
      <c r="E8" s="328"/>
      <c r="F8" s="328"/>
      <c r="G8" s="328"/>
      <c r="H8" s="328"/>
      <c r="I8" s="328"/>
      <c r="J8" s="328"/>
    </row>
    <row r="9" spans="1:10" ht="13.5" thickBot="1">
      <c r="C9" s="1"/>
      <c r="D9" s="1"/>
      <c r="E9" s="1"/>
      <c r="F9" s="1"/>
      <c r="G9" s="1"/>
      <c r="H9" s="1"/>
    </row>
    <row r="10" spans="1:10" ht="19.899999999999999" customHeight="1" thickBot="1">
      <c r="C10" s="279" t="s">
        <v>6</v>
      </c>
      <c r="D10" s="303"/>
      <c r="E10" s="303"/>
      <c r="F10" s="303"/>
      <c r="G10" s="303"/>
      <c r="H10" s="303"/>
      <c r="I10" s="303"/>
      <c r="J10" s="303"/>
    </row>
    <row r="11" spans="1:10" ht="84.5" customHeight="1" thickBot="1">
      <c r="C11" s="132" t="s">
        <v>10</v>
      </c>
      <c r="D11" s="331" t="s">
        <v>186</v>
      </c>
      <c r="E11" s="332"/>
      <c r="F11" s="332"/>
      <c r="G11" s="332"/>
      <c r="H11" s="332"/>
      <c r="I11" s="332"/>
      <c r="J11" s="332"/>
    </row>
    <row r="12" spans="1:10" ht="13" thickBot="1"/>
    <row r="13" spans="1:10" ht="19.899999999999999" customHeight="1" thickBot="1">
      <c r="C13" s="302" t="s">
        <v>8</v>
      </c>
      <c r="D13" s="303"/>
      <c r="E13" s="303"/>
      <c r="F13" s="303"/>
      <c r="G13" s="303"/>
      <c r="H13" s="303"/>
      <c r="I13" s="303"/>
      <c r="J13" s="303"/>
    </row>
    <row r="14" spans="1:10" ht="114.75" customHeight="1">
      <c r="C14" s="127" t="s">
        <v>9</v>
      </c>
      <c r="D14" s="331" t="s">
        <v>187</v>
      </c>
      <c r="E14" s="332"/>
      <c r="F14" s="332"/>
      <c r="G14" s="332"/>
      <c r="H14" s="332"/>
      <c r="I14" s="332"/>
      <c r="J14" s="332"/>
    </row>
    <row r="15" spans="1:10" ht="64.5" customHeight="1" thickBot="1">
      <c r="C15" s="125" t="s">
        <v>157</v>
      </c>
      <c r="D15" s="343" t="s">
        <v>188</v>
      </c>
      <c r="E15" s="344"/>
      <c r="F15" s="344"/>
      <c r="G15" s="344"/>
      <c r="H15" s="344"/>
      <c r="I15" s="344"/>
      <c r="J15" s="331"/>
    </row>
    <row r="16" spans="1:10" ht="13" customHeight="1">
      <c r="C16" s="2" t="s">
        <v>7</v>
      </c>
    </row>
    <row r="17" spans="2:11" ht="13" thickBot="1"/>
    <row r="18" spans="2:11" ht="19.899999999999999" customHeight="1" thickBot="1">
      <c r="C18" s="279" t="s">
        <v>20</v>
      </c>
      <c r="D18" s="280"/>
      <c r="E18" s="280"/>
      <c r="F18" s="280"/>
      <c r="G18" s="280"/>
      <c r="H18" s="280"/>
      <c r="I18" s="280"/>
      <c r="J18" s="363"/>
    </row>
    <row r="19" spans="2:11" ht="13.5" thickBot="1">
      <c r="C19" s="6"/>
      <c r="D19" s="5"/>
      <c r="E19" s="5"/>
      <c r="F19" s="5"/>
      <c r="G19" s="5"/>
      <c r="H19" s="5"/>
      <c r="I19" s="5"/>
      <c r="J19" s="5"/>
    </row>
    <row r="20" spans="2:11" ht="16" thickBot="1">
      <c r="B20" s="2" t="s">
        <v>98</v>
      </c>
      <c r="C20" s="282" t="s">
        <v>21</v>
      </c>
      <c r="D20" s="283"/>
      <c r="E20" s="283"/>
      <c r="F20" s="283"/>
      <c r="G20" s="283"/>
      <c r="H20" s="283"/>
      <c r="I20" s="283"/>
      <c r="J20" s="342"/>
      <c r="K20" s="24"/>
    </row>
    <row r="21" spans="2:11" ht="39.5" thickBot="1">
      <c r="B21" s="2" t="s">
        <v>99</v>
      </c>
      <c r="C21" s="13" t="str">
        <f>$D$8</f>
        <v>m2/MWh</v>
      </c>
      <c r="D21" s="39" t="s">
        <v>332</v>
      </c>
      <c r="E21" s="39"/>
      <c r="F21" s="39" t="s">
        <v>330</v>
      </c>
      <c r="G21" s="39"/>
      <c r="H21" s="39" t="s">
        <v>256</v>
      </c>
      <c r="I21" s="39"/>
      <c r="J21" s="12" t="s">
        <v>86</v>
      </c>
    </row>
    <row r="22" spans="2:11" ht="117.5" thickBot="1">
      <c r="C22" s="128" t="s">
        <v>304</v>
      </c>
      <c r="D22" s="3"/>
      <c r="E22" s="34" t="s">
        <v>98</v>
      </c>
      <c r="F22" s="3">
        <v>11.7</v>
      </c>
      <c r="G22" s="108" t="s">
        <v>98</v>
      </c>
      <c r="H22" s="3"/>
      <c r="I22" s="34"/>
      <c r="J22" s="7"/>
    </row>
    <row r="23" spans="2:11" ht="138" thickBot="1">
      <c r="C23" s="112" t="s">
        <v>307</v>
      </c>
      <c r="D23" s="107">
        <v>595.23</v>
      </c>
      <c r="E23" s="108" t="s">
        <v>98</v>
      </c>
      <c r="F23" s="3"/>
      <c r="G23" s="108" t="s">
        <v>98</v>
      </c>
      <c r="H23" s="109"/>
      <c r="I23" s="108" t="s">
        <v>98</v>
      </c>
      <c r="J23" s="178" t="s">
        <v>333</v>
      </c>
    </row>
    <row r="24" spans="2:11" ht="50.5" thickBot="1">
      <c r="C24" s="112" t="s">
        <v>307</v>
      </c>
      <c r="D24" s="109"/>
      <c r="E24" s="108" t="s">
        <v>99</v>
      </c>
      <c r="F24" s="109"/>
      <c r="G24" s="108"/>
      <c r="H24" s="109">
        <v>38.18</v>
      </c>
      <c r="I24" s="108" t="s">
        <v>98</v>
      </c>
      <c r="J24" s="178" t="s">
        <v>334</v>
      </c>
    </row>
    <row r="25" spans="2:11" ht="25.5" thickBot="1">
      <c r="C25" s="112" t="s">
        <v>307</v>
      </c>
      <c r="D25" s="109"/>
      <c r="E25" s="108"/>
      <c r="F25" s="109"/>
      <c r="G25" s="108"/>
      <c r="H25" s="109"/>
      <c r="I25" s="108"/>
      <c r="J25" s="178"/>
    </row>
    <row r="26" spans="2:11" ht="13" thickBot="1">
      <c r="C26" s="112" t="s">
        <v>158</v>
      </c>
      <c r="D26" s="109"/>
      <c r="F26" s="109"/>
      <c r="G26" s="108"/>
      <c r="H26" s="109"/>
      <c r="I26" s="108" t="s">
        <v>98</v>
      </c>
      <c r="J26" s="178"/>
    </row>
    <row r="27" spans="2:11" ht="13" thickBot="1">
      <c r="C27" s="112" t="s">
        <v>158</v>
      </c>
      <c r="D27" s="3"/>
      <c r="E27" s="34"/>
      <c r="F27" s="3"/>
      <c r="G27" s="34"/>
      <c r="H27" s="3"/>
      <c r="I27" s="34"/>
      <c r="J27" s="7"/>
    </row>
    <row r="28" spans="2:11" ht="13.15" customHeight="1">
      <c r="C28" s="19" t="s">
        <v>16</v>
      </c>
      <c r="D28" s="312">
        <f>_xlfn.MINIFS(D22:D27,E22:E27,"Y")</f>
        <v>595.23</v>
      </c>
      <c r="E28" s="313"/>
      <c r="F28" s="312">
        <f>_xlfn.MINIFS(F22:F27,G22:G27,"Y")</f>
        <v>11.7</v>
      </c>
      <c r="G28" s="313"/>
      <c r="H28" s="312">
        <f>_xlfn.MINIFS(H22:H27,I22:I27,"Y")</f>
        <v>38.18</v>
      </c>
      <c r="I28" s="313"/>
      <c r="J28" s="181"/>
    </row>
    <row r="29" spans="2:11" ht="13.5" thickBot="1">
      <c r="C29" s="20" t="s">
        <v>17</v>
      </c>
      <c r="D29" s="353">
        <f>_xlfn.MAXIFS(D22:D27,E22:E27,"Y")</f>
        <v>595.23</v>
      </c>
      <c r="E29" s="354"/>
      <c r="F29" s="353">
        <f>_xlfn.MAXIFS(F22:F27,G22:G27,"Y")</f>
        <v>11.7</v>
      </c>
      <c r="G29" s="354"/>
      <c r="H29" s="353">
        <f>_xlfn.MAXIFS(H22:H27,I22:I27,"Y")</f>
        <v>38.18</v>
      </c>
      <c r="I29" s="354"/>
      <c r="J29" s="11"/>
    </row>
    <row r="30" spans="2:11" ht="13.5" thickBot="1">
      <c r="C30" s="21" t="s">
        <v>72</v>
      </c>
      <c r="D30" s="337">
        <f>MEDIAN(D22:D27)</f>
        <v>595.23</v>
      </c>
      <c r="E30" s="338"/>
      <c r="F30" s="337">
        <f>MEDIAN(F22:F27)</f>
        <v>11.7</v>
      </c>
      <c r="G30" s="338"/>
      <c r="H30" s="337">
        <f>MEDIAN(H22:H27)</f>
        <v>38.18</v>
      </c>
      <c r="I30" s="338"/>
      <c r="J30" s="106"/>
    </row>
    <row r="31" spans="2:11" ht="13.5" thickBot="1">
      <c r="C31" s="21" t="s">
        <v>19</v>
      </c>
      <c r="D31" s="337">
        <f>AVERAGEIF(E22:E27,"Y",D22:D27)</f>
        <v>595.23</v>
      </c>
      <c r="E31" s="338"/>
      <c r="F31" s="337">
        <f>AVERAGEIF(G22:G27,"Y",F22:F27)</f>
        <v>11.7</v>
      </c>
      <c r="G31" s="338"/>
      <c r="H31" s="337">
        <f>AVERAGEIF(I22:I27,"Y",H22:H27)</f>
        <v>38.18</v>
      </c>
      <c r="I31" s="338"/>
      <c r="J31" s="106"/>
    </row>
    <row r="32" spans="2:11" ht="13.5" thickBot="1">
      <c r="C32" s="21" t="s">
        <v>18</v>
      </c>
      <c r="D32" s="335">
        <f>D31</f>
        <v>595.23</v>
      </c>
      <c r="E32" s="362"/>
      <c r="F32" s="335">
        <f>F31</f>
        <v>11.7</v>
      </c>
      <c r="G32" s="362"/>
      <c r="H32" s="336">
        <f>H31</f>
        <v>38.18</v>
      </c>
      <c r="I32" s="362"/>
      <c r="J32" s="180"/>
    </row>
    <row r="33" spans="3:10" ht="13">
      <c r="C33" s="1"/>
      <c r="D33" s="3"/>
      <c r="E33" s="3"/>
      <c r="F33" s="3"/>
      <c r="G33" s="3"/>
      <c r="H33" s="3"/>
      <c r="I33" s="3"/>
      <c r="J33" s="3"/>
    </row>
  </sheetData>
  <mergeCells count="29">
    <mergeCell ref="D32:E32"/>
    <mergeCell ref="F32:G32"/>
    <mergeCell ref="H32:I32"/>
    <mergeCell ref="C10:J10"/>
    <mergeCell ref="D11:J11"/>
    <mergeCell ref="F28:G28"/>
    <mergeCell ref="H28:I28"/>
    <mergeCell ref="H30:I30"/>
    <mergeCell ref="D15:J15"/>
    <mergeCell ref="C13:J13"/>
    <mergeCell ref="D14:J14"/>
    <mergeCell ref="C18:J18"/>
    <mergeCell ref="D30:E30"/>
    <mergeCell ref="F30:G30"/>
    <mergeCell ref="D31:E31"/>
    <mergeCell ref="F31:G31"/>
    <mergeCell ref="H31:I31"/>
    <mergeCell ref="C1:J1"/>
    <mergeCell ref="D29:E29"/>
    <mergeCell ref="D28:E28"/>
    <mergeCell ref="F29:G29"/>
    <mergeCell ref="H29:I29"/>
    <mergeCell ref="C2:J2"/>
    <mergeCell ref="D8:J8"/>
    <mergeCell ref="D7:J7"/>
    <mergeCell ref="D6:J6"/>
    <mergeCell ref="D5:J5"/>
    <mergeCell ref="D4:J4"/>
    <mergeCell ref="C20:J20"/>
  </mergeCells>
  <phoneticPr fontId="22" type="noConversion"/>
  <conditionalFormatting sqref="G22:G27 I22:I27 E27 E22:E25">
    <cfRule type="cellIs" dxfId="59" priority="39" operator="equal">
      <formula>"N"</formula>
    </cfRule>
    <cfRule type="cellIs" dxfId="58" priority="40" operator="equal">
      <formula>"Y"</formula>
    </cfRule>
  </conditionalFormatting>
  <dataValidations count="1">
    <dataValidation type="list" allowBlank="1" showInputMessage="1" showErrorMessage="1" sqref="G22:G27 I22:I27 E22:E25 E27" xr:uid="{00000000-0002-0000-0500-000000000000}">
      <formula1>$B$20:$B$21</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tabColor theme="9"/>
  </sheetPr>
  <dimension ref="A1:J26"/>
  <sheetViews>
    <sheetView showGridLines="0" zoomScale="88" zoomScaleNormal="88" workbookViewId="0">
      <selection activeCell="D26" sqref="D26:E26"/>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0" width="11.54296875" style="2" customWidth="1"/>
    <col min="11" max="16384" width="11.54296875" style="2"/>
  </cols>
  <sheetData>
    <row r="1" spans="1:10" ht="19.5" thickBot="1">
      <c r="C1" s="360" t="s">
        <v>89</v>
      </c>
      <c r="D1" s="361"/>
      <c r="E1" s="361"/>
      <c r="F1" s="361"/>
      <c r="G1" s="361"/>
      <c r="H1" s="361"/>
      <c r="I1" s="361"/>
      <c r="J1" s="361"/>
    </row>
    <row r="2" spans="1:10" ht="24" customHeight="1" thickBot="1">
      <c r="C2" s="294" t="s">
        <v>276</v>
      </c>
      <c r="D2" s="295"/>
      <c r="E2" s="295"/>
      <c r="F2" s="295"/>
      <c r="G2" s="295"/>
      <c r="H2" s="295"/>
      <c r="I2" s="295"/>
      <c r="J2" s="295"/>
    </row>
    <row r="3" spans="1:10" ht="13.5" thickBot="1">
      <c r="C3" s="3"/>
      <c r="D3" s="3"/>
      <c r="E3" s="3"/>
      <c r="F3" s="3"/>
      <c r="G3" s="3"/>
      <c r="H3" s="4"/>
    </row>
    <row r="4" spans="1:10" ht="24" customHeight="1">
      <c r="C4" s="123" t="s">
        <v>132</v>
      </c>
      <c r="D4" s="349" t="s">
        <v>277</v>
      </c>
      <c r="E4" s="350"/>
      <c r="F4" s="350"/>
      <c r="G4" s="350"/>
      <c r="H4" s="350"/>
      <c r="I4" s="350"/>
      <c r="J4" s="350"/>
    </row>
    <row r="5" spans="1:10" ht="13">
      <c r="A5" s="2" t="s">
        <v>3</v>
      </c>
      <c r="C5" s="124" t="s">
        <v>1</v>
      </c>
      <c r="D5" s="331" t="s">
        <v>100</v>
      </c>
      <c r="E5" s="332"/>
      <c r="F5" s="332"/>
      <c r="G5" s="332"/>
      <c r="H5" s="332"/>
      <c r="I5" s="332"/>
      <c r="J5" s="332"/>
    </row>
    <row r="6" spans="1:10" ht="13.5" thickBot="1">
      <c r="C6" s="124" t="s">
        <v>4</v>
      </c>
      <c r="D6" s="331" t="s">
        <v>190</v>
      </c>
      <c r="E6" s="332"/>
      <c r="F6" s="332"/>
      <c r="G6" s="332"/>
      <c r="H6" s="332"/>
      <c r="I6" s="332"/>
      <c r="J6" s="332"/>
    </row>
    <row r="7" spans="1:10" ht="13" customHeight="1" thickBot="1">
      <c r="C7" s="124" t="s">
        <v>2</v>
      </c>
      <c r="D7" s="349" t="s">
        <v>134</v>
      </c>
      <c r="E7" s="350"/>
      <c r="F7" s="350"/>
      <c r="G7" s="350"/>
      <c r="H7" s="350"/>
      <c r="I7" s="350"/>
      <c r="J7" s="350"/>
    </row>
    <row r="8" spans="1:10" ht="38.5" customHeight="1" thickBot="1">
      <c r="B8" s="23"/>
      <c r="C8" s="125" t="s">
        <v>5</v>
      </c>
      <c r="D8" s="349" t="s">
        <v>301</v>
      </c>
      <c r="E8" s="350"/>
      <c r="F8" s="350"/>
      <c r="G8" s="350"/>
      <c r="H8" s="350"/>
      <c r="I8" s="350"/>
      <c r="J8" s="350"/>
    </row>
    <row r="9" spans="1:10" ht="13.5" thickBot="1">
      <c r="C9" s="1"/>
      <c r="D9" s="1"/>
      <c r="E9" s="1"/>
      <c r="F9" s="1"/>
      <c r="G9" s="1"/>
      <c r="H9" s="1"/>
    </row>
    <row r="10" spans="1:10" ht="19.899999999999999" customHeight="1" thickBot="1">
      <c r="C10" s="279" t="s">
        <v>6</v>
      </c>
      <c r="D10" s="303"/>
      <c r="E10" s="303"/>
      <c r="F10" s="303"/>
      <c r="G10" s="303"/>
      <c r="H10" s="303"/>
      <c r="I10" s="303"/>
      <c r="J10" s="303"/>
    </row>
    <row r="11" spans="1:10" ht="77.25" customHeight="1">
      <c r="C11" s="126" t="s">
        <v>10</v>
      </c>
      <c r="D11" s="333" t="s">
        <v>191</v>
      </c>
      <c r="E11" s="334"/>
      <c r="F11" s="334"/>
      <c r="G11" s="334"/>
      <c r="H11" s="334"/>
      <c r="I11" s="334"/>
      <c r="J11" s="334"/>
    </row>
    <row r="12" spans="1:10" ht="13" thickBot="1"/>
    <row r="13" spans="1:10" ht="19.899999999999999" customHeight="1" thickBot="1">
      <c r="C13" s="302" t="s">
        <v>8</v>
      </c>
      <c r="D13" s="303"/>
      <c r="E13" s="303"/>
      <c r="F13" s="303"/>
      <c r="G13" s="303"/>
      <c r="H13" s="303"/>
      <c r="I13" s="303"/>
      <c r="J13" s="303"/>
    </row>
    <row r="14" spans="1:10" ht="76.5" customHeight="1" thickBot="1">
      <c r="C14" s="127" t="s">
        <v>9</v>
      </c>
      <c r="D14" s="333" t="s">
        <v>278</v>
      </c>
      <c r="E14" s="334"/>
      <c r="F14" s="334"/>
      <c r="G14" s="334"/>
      <c r="H14" s="334"/>
      <c r="I14" s="334"/>
      <c r="J14" s="334"/>
    </row>
    <row r="15" spans="1:10" ht="42" customHeight="1" thickBot="1">
      <c r="C15" s="125" t="s">
        <v>157</v>
      </c>
      <c r="D15" s="349" t="s">
        <v>306</v>
      </c>
      <c r="E15" s="350"/>
      <c r="F15" s="350"/>
      <c r="G15" s="350"/>
      <c r="H15" s="350"/>
      <c r="I15" s="350"/>
      <c r="J15" s="350"/>
    </row>
    <row r="16" spans="1:10">
      <c r="C16" s="2" t="s">
        <v>7</v>
      </c>
    </row>
    <row r="17" spans="2:10" ht="13" thickBot="1"/>
    <row r="18" spans="2:10" ht="19.899999999999999" customHeight="1" thickBot="1">
      <c r="C18" s="279" t="s">
        <v>20</v>
      </c>
      <c r="D18" s="280"/>
      <c r="E18" s="280"/>
      <c r="F18" s="280"/>
      <c r="G18" s="280"/>
      <c r="H18" s="280"/>
      <c r="I18" s="280"/>
      <c r="J18" s="363"/>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22" customHeight="1" thickBot="1">
      <c r="B21" s="2" t="s">
        <v>99</v>
      </c>
      <c r="C21" s="13" t="s">
        <v>300</v>
      </c>
      <c r="D21" s="39" t="s">
        <v>332</v>
      </c>
      <c r="E21" s="39"/>
      <c r="F21" s="39" t="s">
        <v>330</v>
      </c>
      <c r="G21" s="39"/>
      <c r="H21" s="39" t="s">
        <v>279</v>
      </c>
      <c r="I21" s="39"/>
      <c r="J21" s="12" t="s">
        <v>86</v>
      </c>
    </row>
    <row r="22" spans="2:10" ht="25.5" thickBot="1">
      <c r="B22" s="2" t="s">
        <v>99</v>
      </c>
      <c r="C22" s="112" t="s">
        <v>307</v>
      </c>
      <c r="D22" s="3">
        <v>1</v>
      </c>
      <c r="E22" s="108" t="s">
        <v>98</v>
      </c>
      <c r="F22" s="3">
        <v>1</v>
      </c>
      <c r="G22" s="108" t="s">
        <v>98</v>
      </c>
      <c r="H22" s="3"/>
      <c r="I22" s="108" t="s">
        <v>98</v>
      </c>
      <c r="J22" s="223" t="s">
        <v>335</v>
      </c>
    </row>
    <row r="23" spans="2:10" ht="87.5" thickBot="1">
      <c r="C23" s="112" t="s">
        <v>158</v>
      </c>
      <c r="D23" s="3"/>
      <c r="E23" s="108" t="s">
        <v>98</v>
      </c>
      <c r="F23" s="3"/>
      <c r="G23" s="108" t="s">
        <v>98</v>
      </c>
      <c r="H23" s="3">
        <v>2</v>
      </c>
      <c r="I23" s="108" t="s">
        <v>98</v>
      </c>
      <c r="J23" s="224" t="s">
        <v>336</v>
      </c>
    </row>
    <row r="24" spans="2:10" ht="13.5" thickBot="1">
      <c r="C24" s="21" t="s">
        <v>72</v>
      </c>
      <c r="D24" s="362">
        <f>MEDIAN(D22:D23)</f>
        <v>1</v>
      </c>
      <c r="E24" s="362"/>
      <c r="F24" s="362">
        <f>MEDIAN(F22:F23)</f>
        <v>1</v>
      </c>
      <c r="G24" s="362"/>
      <c r="H24" s="362">
        <f>MEDIAN(H22:H23)</f>
        <v>2</v>
      </c>
      <c r="I24" s="362"/>
      <c r="J24" s="180"/>
    </row>
    <row r="25" spans="2:10" ht="13.5" thickBot="1">
      <c r="C25" s="21" t="s">
        <v>19</v>
      </c>
      <c r="D25" s="338">
        <f>AVERAGEIF(E20:E23,"Y",D20:D23)</f>
        <v>1</v>
      </c>
      <c r="E25" s="338"/>
      <c r="F25" s="338">
        <f>AVERAGEIF(G20:G23,"Y",F20:F23)</f>
        <v>1</v>
      </c>
      <c r="G25" s="338"/>
      <c r="H25" s="338">
        <f>AVERAGEIF(I20:I23,"Y",H20:H23)</f>
        <v>2</v>
      </c>
      <c r="I25" s="338"/>
      <c r="J25" s="175"/>
    </row>
    <row r="26" spans="2:10" ht="13.5" thickBot="1">
      <c r="C26" s="21" t="s">
        <v>18</v>
      </c>
      <c r="D26" s="336">
        <f>D25</f>
        <v>1</v>
      </c>
      <c r="E26" s="362"/>
      <c r="F26" s="336">
        <f t="shared" ref="F26" si="0">F25</f>
        <v>1</v>
      </c>
      <c r="G26" s="362"/>
      <c r="H26" s="336">
        <f t="shared" ref="H26" si="1">H25</f>
        <v>2</v>
      </c>
      <c r="I26" s="362"/>
      <c r="J26" s="180"/>
    </row>
  </sheetData>
  <mergeCells count="23">
    <mergeCell ref="C2:J2"/>
    <mergeCell ref="D4:J4"/>
    <mergeCell ref="D5:J5"/>
    <mergeCell ref="D6:J6"/>
    <mergeCell ref="C1:J1"/>
    <mergeCell ref="D7:J7"/>
    <mergeCell ref="D8:J8"/>
    <mergeCell ref="D24:E24"/>
    <mergeCell ref="F24:G24"/>
    <mergeCell ref="H24:I24"/>
    <mergeCell ref="C10:J10"/>
    <mergeCell ref="D11:J11"/>
    <mergeCell ref="C13:J13"/>
    <mergeCell ref="C20:J20"/>
    <mergeCell ref="D14:J14"/>
    <mergeCell ref="D15:J15"/>
    <mergeCell ref="C18:J18"/>
    <mergeCell ref="D25:E25"/>
    <mergeCell ref="F25:G25"/>
    <mergeCell ref="H25:I25"/>
    <mergeCell ref="D26:E26"/>
    <mergeCell ref="F26:G26"/>
    <mergeCell ref="H26:I26"/>
  </mergeCells>
  <conditionalFormatting sqref="E22:E23">
    <cfRule type="cellIs" dxfId="57" priority="9" operator="equal">
      <formula>"N"</formula>
    </cfRule>
    <cfRule type="cellIs" dxfId="56" priority="10" operator="equal">
      <formula>"Y"</formula>
    </cfRule>
  </conditionalFormatting>
  <conditionalFormatting sqref="G22">
    <cfRule type="cellIs" dxfId="55" priority="7" operator="equal">
      <formula>"N"</formula>
    </cfRule>
    <cfRule type="cellIs" dxfId="54" priority="8" operator="equal">
      <formula>"Y"</formula>
    </cfRule>
  </conditionalFormatting>
  <conditionalFormatting sqref="G23">
    <cfRule type="cellIs" dxfId="53" priority="5" operator="equal">
      <formula>"N"</formula>
    </cfRule>
    <cfRule type="cellIs" dxfId="52" priority="6" operator="equal">
      <formula>"Y"</formula>
    </cfRule>
  </conditionalFormatting>
  <conditionalFormatting sqref="I22">
    <cfRule type="cellIs" dxfId="51" priority="3" operator="equal">
      <formula>"N"</formula>
    </cfRule>
    <cfRule type="cellIs" dxfId="50" priority="4" operator="equal">
      <formula>"Y"</formula>
    </cfRule>
  </conditionalFormatting>
  <conditionalFormatting sqref="I23">
    <cfRule type="cellIs" dxfId="49" priority="1" operator="equal">
      <formula>"N"</formula>
    </cfRule>
    <cfRule type="cellIs" dxfId="48" priority="2" operator="equal">
      <formula>"Y"</formula>
    </cfRule>
  </conditionalFormatting>
  <dataValidations count="1">
    <dataValidation type="list" allowBlank="1" showInputMessage="1" showErrorMessage="1" sqref="E22:E23 G22:G23 I22:I23" xr:uid="{304A87B2-7C50-4F38-AD58-1ACABF4F2169}">
      <formula1>$B$20:$B$21</formula1>
    </dataValidation>
  </dataValidations>
  <hyperlinks>
    <hyperlink ref="J22" r:id="rId1" xr:uid="{474B7040-02F4-4A68-BAAD-8BBB89D89C43}"/>
    <hyperlink ref="J23" r:id="rId2" display="Kohler SDMO - Diesel 6000 E Silence UK " xr:uid="{F32A8D82-7BA0-4F59-8B7B-AB0F50BE8275}"/>
  </hyperlinks>
  <pageMargins left="0.7" right="0.7" top="0.75" bottom="0.75" header="0.3" footer="0.3"/>
  <pageSetup paperSize="9"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tabColor theme="9"/>
  </sheetPr>
  <dimension ref="A1:J31"/>
  <sheetViews>
    <sheetView showGridLines="0" zoomScale="88" zoomScaleNormal="88" workbookViewId="0">
      <selection activeCell="D30" sqref="D30:E30"/>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60" t="s">
        <v>90</v>
      </c>
      <c r="D1" s="361"/>
      <c r="E1" s="361"/>
      <c r="F1" s="361"/>
      <c r="G1" s="361"/>
      <c r="H1" s="361"/>
      <c r="I1" s="361"/>
      <c r="J1" s="361"/>
    </row>
    <row r="2" spans="1:10" ht="24" customHeight="1" thickBot="1">
      <c r="C2" s="294" t="str">
        <f>'1. Criteria'!C15</f>
        <v>GHG emissions and GWP</v>
      </c>
      <c r="D2" s="295"/>
      <c r="E2" s="295"/>
      <c r="F2" s="295"/>
      <c r="G2" s="295"/>
      <c r="H2" s="295"/>
      <c r="I2" s="295"/>
      <c r="J2" s="295"/>
    </row>
    <row r="3" spans="1:10" ht="13.5" thickBot="1">
      <c r="C3" s="3"/>
      <c r="D3" s="3"/>
      <c r="E3" s="3"/>
      <c r="F3" s="3"/>
      <c r="G3" s="3"/>
      <c r="H3" s="4"/>
    </row>
    <row r="4" spans="1:10" ht="13">
      <c r="C4" s="123" t="s">
        <v>132</v>
      </c>
      <c r="D4" s="349" t="s">
        <v>192</v>
      </c>
      <c r="E4" s="350"/>
      <c r="F4" s="350"/>
      <c r="G4" s="350"/>
      <c r="H4" s="350"/>
      <c r="I4" s="350"/>
      <c r="J4" s="350"/>
    </row>
    <row r="5" spans="1:10" ht="13">
      <c r="A5" s="2" t="s">
        <v>3</v>
      </c>
      <c r="C5" s="124" t="s">
        <v>1</v>
      </c>
      <c r="D5" s="331" t="s">
        <v>100</v>
      </c>
      <c r="E5" s="332"/>
      <c r="F5" s="332"/>
      <c r="G5" s="332"/>
      <c r="H5" s="332"/>
      <c r="I5" s="332"/>
      <c r="J5" s="332"/>
    </row>
    <row r="6" spans="1:10" ht="13">
      <c r="C6" s="124" t="s">
        <v>4</v>
      </c>
      <c r="D6" s="331" t="s">
        <v>101</v>
      </c>
      <c r="E6" s="332"/>
      <c r="F6" s="332"/>
      <c r="G6" s="332"/>
      <c r="H6" s="332"/>
      <c r="I6" s="332"/>
      <c r="J6" s="332"/>
    </row>
    <row r="7" spans="1:10" ht="13">
      <c r="C7" s="124" t="s">
        <v>2</v>
      </c>
      <c r="D7" s="331" t="s">
        <v>107</v>
      </c>
      <c r="E7" s="332"/>
      <c r="F7" s="332"/>
      <c r="G7" s="332"/>
      <c r="H7" s="332"/>
      <c r="I7" s="332"/>
      <c r="J7" s="332"/>
    </row>
    <row r="8" spans="1:10" ht="15" customHeight="1" thickBot="1">
      <c r="B8" s="23"/>
      <c r="C8" s="125" t="s">
        <v>5</v>
      </c>
      <c r="D8" s="327" t="s">
        <v>193</v>
      </c>
      <c r="E8" s="328"/>
      <c r="F8" s="328"/>
      <c r="G8" s="328"/>
      <c r="H8" s="328"/>
      <c r="I8" s="328"/>
      <c r="J8" s="328"/>
    </row>
    <row r="9" spans="1:10" ht="13.5" thickBot="1">
      <c r="C9" s="1"/>
      <c r="D9" s="1"/>
      <c r="E9" s="1"/>
      <c r="F9" s="1"/>
      <c r="G9" s="1"/>
      <c r="H9" s="1"/>
    </row>
    <row r="10" spans="1:10" ht="19.899999999999999" customHeight="1" thickBot="1">
      <c r="C10" s="279" t="s">
        <v>6</v>
      </c>
      <c r="D10" s="303"/>
      <c r="E10" s="303"/>
      <c r="F10" s="303"/>
      <c r="G10" s="303"/>
      <c r="H10" s="303"/>
      <c r="I10" s="303"/>
      <c r="J10" s="303"/>
    </row>
    <row r="11" spans="1:10" ht="51.75" customHeight="1">
      <c r="C11" s="126" t="s">
        <v>10</v>
      </c>
      <c r="D11" s="331" t="s">
        <v>194</v>
      </c>
      <c r="E11" s="332"/>
      <c r="F11" s="332"/>
      <c r="G11" s="332"/>
      <c r="H11" s="332"/>
      <c r="I11" s="332"/>
      <c r="J11" s="332"/>
    </row>
    <row r="12" spans="1:10" ht="13" thickBot="1"/>
    <row r="13" spans="1:10" ht="19.899999999999999" customHeight="1" thickBot="1">
      <c r="C13" s="302" t="s">
        <v>8</v>
      </c>
      <c r="D13" s="303"/>
      <c r="E13" s="303"/>
      <c r="F13" s="303"/>
      <c r="G13" s="303"/>
      <c r="H13" s="303"/>
      <c r="I13" s="303"/>
      <c r="J13" s="303"/>
    </row>
    <row r="14" spans="1:10" ht="153" customHeight="1">
      <c r="C14" s="127" t="s">
        <v>9</v>
      </c>
      <c r="D14" s="331" t="s">
        <v>195</v>
      </c>
      <c r="E14" s="332"/>
      <c r="F14" s="332"/>
      <c r="G14" s="332"/>
      <c r="H14" s="332"/>
      <c r="I14" s="332"/>
      <c r="J14" s="332"/>
    </row>
    <row r="15" spans="1:10" ht="50.5" customHeight="1" thickBot="1">
      <c r="C15" s="125" t="s">
        <v>157</v>
      </c>
      <c r="D15" s="331" t="s">
        <v>196</v>
      </c>
      <c r="E15" s="332"/>
      <c r="F15" s="332"/>
      <c r="G15" s="332"/>
      <c r="H15" s="332"/>
      <c r="I15" s="332"/>
      <c r="J15" s="332"/>
    </row>
    <row r="16" spans="1:10">
      <c r="C16" s="2" t="s">
        <v>7</v>
      </c>
    </row>
    <row r="17" spans="2:10" ht="13" thickBot="1"/>
    <row r="18" spans="2:10" ht="19.899999999999999" customHeight="1" thickBot="1">
      <c r="C18" s="279" t="s">
        <v>20</v>
      </c>
      <c r="D18" s="280"/>
      <c r="E18" s="280"/>
      <c r="F18" s="280"/>
      <c r="G18" s="280"/>
      <c r="H18" s="280"/>
      <c r="I18" s="280"/>
      <c r="J18" s="280"/>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25" customHeight="1" thickBot="1">
      <c r="B21" s="2" t="s">
        <v>99</v>
      </c>
      <c r="C21" s="13" t="str">
        <f>$D$8</f>
        <v>gCO2-eq. /kWh</v>
      </c>
      <c r="D21" s="39" t="s">
        <v>332</v>
      </c>
      <c r="E21" s="39"/>
      <c r="F21" s="39" t="s">
        <v>330</v>
      </c>
      <c r="G21" s="39"/>
      <c r="H21" s="39" t="s">
        <v>256</v>
      </c>
      <c r="I21" s="39"/>
      <c r="J21" s="22" t="s">
        <v>86</v>
      </c>
    </row>
    <row r="22" spans="2:10" ht="25.5" thickBot="1">
      <c r="C22" s="112" t="s">
        <v>307</v>
      </c>
      <c r="D22" s="109">
        <v>24.69</v>
      </c>
      <c r="E22" s="108" t="s">
        <v>98</v>
      </c>
      <c r="F22" s="109"/>
      <c r="G22" s="108" t="s">
        <v>98</v>
      </c>
      <c r="H22" s="109"/>
      <c r="I22" s="108" t="s">
        <v>98</v>
      </c>
      <c r="J22" s="178"/>
    </row>
    <row r="23" spans="2:10" ht="75.5" thickBot="1">
      <c r="C23" s="112" t="s">
        <v>337</v>
      </c>
      <c r="D23" s="107"/>
      <c r="E23" s="108" t="s">
        <v>98</v>
      </c>
      <c r="F23" s="107">
        <v>140</v>
      </c>
      <c r="G23" s="108" t="s">
        <v>98</v>
      </c>
      <c r="H23" s="109"/>
      <c r="I23" s="108" t="s">
        <v>98</v>
      </c>
      <c r="J23" s="179"/>
    </row>
    <row r="24" spans="2:10" ht="75.5" thickBot="1">
      <c r="C24" s="112" t="s">
        <v>337</v>
      </c>
      <c r="D24" s="107"/>
      <c r="E24" s="108" t="s">
        <v>98</v>
      </c>
      <c r="F24" s="107">
        <v>180</v>
      </c>
      <c r="G24" s="108" t="s">
        <v>98</v>
      </c>
      <c r="H24" s="109"/>
      <c r="I24" s="108" t="s">
        <v>98</v>
      </c>
      <c r="J24" s="179"/>
    </row>
    <row r="25" spans="2:10" ht="113" thickBot="1">
      <c r="C25" s="112" t="s">
        <v>338</v>
      </c>
      <c r="D25" s="109"/>
      <c r="E25" s="108" t="s">
        <v>98</v>
      </c>
      <c r="F25" s="109"/>
      <c r="G25" s="108" t="s">
        <v>98</v>
      </c>
      <c r="H25" s="109">
        <v>1040</v>
      </c>
      <c r="I25" s="108" t="s">
        <v>98</v>
      </c>
      <c r="J25" s="178" t="s">
        <v>339</v>
      </c>
    </row>
    <row r="26" spans="2:10" ht="13">
      <c r="C26" s="19" t="s">
        <v>16</v>
      </c>
      <c r="D26" s="313">
        <f>_xlfn.MINIFS(D22:D25,E22:E25,"Y")</f>
        <v>24.69</v>
      </c>
      <c r="E26" s="313"/>
      <c r="F26" s="313">
        <f>_xlfn.MINIFS(F22:F25,G22:G25,"Y")</f>
        <v>140</v>
      </c>
      <c r="G26" s="313"/>
      <c r="H26" s="313">
        <f>_xlfn.MINIFS(H22:H25,I22:I25,"Y")</f>
        <v>1040</v>
      </c>
      <c r="I26" s="313"/>
      <c r="J26" s="173"/>
    </row>
    <row r="27" spans="2:10" ht="13.5" thickBot="1">
      <c r="C27" s="20" t="s">
        <v>17</v>
      </c>
      <c r="D27" s="352">
        <f>_xlfn.MAXIFS(D22:D25,E22:E25,"Y")</f>
        <v>24.69</v>
      </c>
      <c r="E27" s="352"/>
      <c r="F27" s="352">
        <f>_xlfn.MAXIFS(F22:F25,G22:G25,"Y")</f>
        <v>180</v>
      </c>
      <c r="G27" s="352"/>
      <c r="H27" s="352">
        <f>_xlfn.MAXIFS(H22:H25,I22:I25,"Y")</f>
        <v>1040</v>
      </c>
      <c r="I27" s="352"/>
      <c r="J27" s="7"/>
    </row>
    <row r="28" spans="2:10" ht="13.5" thickBot="1">
      <c r="C28" s="21" t="s">
        <v>72</v>
      </c>
      <c r="D28" s="338">
        <f>MEDIAN(D22:D25)</f>
        <v>24.69</v>
      </c>
      <c r="E28" s="338"/>
      <c r="F28" s="338">
        <f>MEDIAN(F22:F25)</f>
        <v>160</v>
      </c>
      <c r="G28" s="338"/>
      <c r="H28" s="338">
        <f>MEDIAN(H22:H25)</f>
        <v>1040</v>
      </c>
      <c r="I28" s="338"/>
      <c r="J28" s="175"/>
    </row>
    <row r="29" spans="2:10" ht="13.5" thickBot="1">
      <c r="C29" s="21" t="s">
        <v>19</v>
      </c>
      <c r="D29" s="338">
        <f>AVERAGEIF(E22:E25,"Y",D22:D25)</f>
        <v>24.69</v>
      </c>
      <c r="E29" s="338"/>
      <c r="F29" s="338">
        <f>AVERAGEIF(G22:G25,"Y",F22:F25)</f>
        <v>160</v>
      </c>
      <c r="G29" s="338"/>
      <c r="H29" s="338">
        <f>AVERAGEIF(I22:I25,"Y",H22:H25)</f>
        <v>1040</v>
      </c>
      <c r="I29" s="338"/>
      <c r="J29" s="175"/>
    </row>
    <row r="30" spans="2:10" ht="13.5" thickBot="1">
      <c r="C30" s="21" t="s">
        <v>18</v>
      </c>
      <c r="D30" s="336">
        <f>D29</f>
        <v>24.69</v>
      </c>
      <c r="E30" s="362"/>
      <c r="F30" s="336">
        <f t="shared" ref="F30" si="0">F29</f>
        <v>160</v>
      </c>
      <c r="G30" s="362"/>
      <c r="H30" s="336">
        <f t="shared" ref="H30" si="1">H29</f>
        <v>1040</v>
      </c>
      <c r="I30" s="362"/>
      <c r="J30" s="180"/>
    </row>
    <row r="31" spans="2:10" ht="13">
      <c r="C31" s="1"/>
      <c r="D31" s="3"/>
      <c r="E31" s="3"/>
      <c r="F31" s="3"/>
      <c r="G31" s="3"/>
      <c r="H31" s="3"/>
      <c r="I31" s="3"/>
      <c r="J31" s="3"/>
    </row>
  </sheetData>
  <mergeCells count="29">
    <mergeCell ref="C2:J2"/>
    <mergeCell ref="D4:J4"/>
    <mergeCell ref="D5:J5"/>
    <mergeCell ref="D6:J6"/>
    <mergeCell ref="D7:J7"/>
    <mergeCell ref="C10:J10"/>
    <mergeCell ref="D11:J11"/>
    <mergeCell ref="H30:I30"/>
    <mergeCell ref="D30:E30"/>
    <mergeCell ref="F30:G30"/>
    <mergeCell ref="D29:E29"/>
    <mergeCell ref="F29:G29"/>
    <mergeCell ref="H29:I29"/>
    <mergeCell ref="C1:J1"/>
    <mergeCell ref="D28:E28"/>
    <mergeCell ref="F28:G28"/>
    <mergeCell ref="H28:I28"/>
    <mergeCell ref="D27:E27"/>
    <mergeCell ref="F27:G27"/>
    <mergeCell ref="H27:I27"/>
    <mergeCell ref="C20:J20"/>
    <mergeCell ref="C13:J13"/>
    <mergeCell ref="D14:J14"/>
    <mergeCell ref="D15:J15"/>
    <mergeCell ref="C18:J18"/>
    <mergeCell ref="D26:E26"/>
    <mergeCell ref="F26:G26"/>
    <mergeCell ref="H26:I26"/>
    <mergeCell ref="D8:J8"/>
  </mergeCells>
  <conditionalFormatting sqref="E22:E25 G22:G25 I22:I25">
    <cfRule type="cellIs" dxfId="47" priority="25" operator="equal">
      <formula>"N"</formula>
    </cfRule>
    <cfRule type="cellIs" dxfId="46" priority="26" operator="equal">
      <formula>"Y"</formula>
    </cfRule>
  </conditionalFormatting>
  <dataValidations count="1">
    <dataValidation type="list" allowBlank="1" showInputMessage="1" showErrorMessage="1" sqref="I22:I25 G22:G25 E22:E25" xr:uid="{00000000-0002-0000-0700-000000000000}">
      <formula1>$B$20:$B$21</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tabColor theme="9"/>
  </sheetPr>
  <dimension ref="A1:J31"/>
  <sheetViews>
    <sheetView zoomScale="88" zoomScaleNormal="88" workbookViewId="0">
      <selection activeCell="N22" sqref="N22"/>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60" t="s">
        <v>81</v>
      </c>
      <c r="D1" s="361"/>
      <c r="E1" s="361"/>
      <c r="F1" s="361"/>
      <c r="G1" s="361"/>
      <c r="H1" s="361"/>
      <c r="I1" s="361"/>
      <c r="J1" s="361"/>
    </row>
    <row r="2" spans="1:10" ht="24" customHeight="1" thickBot="1">
      <c r="C2" s="294" t="str">
        <f>'1. Criteria'!C16</f>
        <v>NMVOC</v>
      </c>
      <c r="D2" s="295"/>
      <c r="E2" s="295"/>
      <c r="F2" s="295"/>
      <c r="G2" s="295"/>
      <c r="H2" s="295"/>
      <c r="I2" s="295"/>
      <c r="J2" s="295"/>
    </row>
    <row r="3" spans="1:10" ht="13.5" thickBot="1">
      <c r="C3" s="3"/>
      <c r="D3" s="3"/>
      <c r="E3" s="3"/>
      <c r="F3" s="3"/>
      <c r="G3" s="3"/>
      <c r="H3" s="4"/>
    </row>
    <row r="4" spans="1:10" ht="14.5" customHeight="1">
      <c r="C4" s="123" t="s">
        <v>132</v>
      </c>
      <c r="D4" s="349" t="s">
        <v>247</v>
      </c>
      <c r="E4" s="350"/>
      <c r="F4" s="350"/>
      <c r="G4" s="350"/>
      <c r="H4" s="350"/>
      <c r="I4" s="350"/>
      <c r="J4" s="350"/>
    </row>
    <row r="5" spans="1:10" ht="13">
      <c r="A5" s="2" t="s">
        <v>3</v>
      </c>
      <c r="C5" s="124" t="s">
        <v>1</v>
      </c>
      <c r="D5" s="331" t="s">
        <v>100</v>
      </c>
      <c r="E5" s="332"/>
      <c r="F5" s="332"/>
      <c r="G5" s="332"/>
      <c r="H5" s="332"/>
      <c r="I5" s="332"/>
      <c r="J5" s="332"/>
    </row>
    <row r="6" spans="1:10" ht="29.5" customHeight="1">
      <c r="C6" s="124" t="s">
        <v>4</v>
      </c>
      <c r="D6" s="331" t="s">
        <v>189</v>
      </c>
      <c r="E6" s="332"/>
      <c r="F6" s="332"/>
      <c r="G6" s="332"/>
      <c r="H6" s="332"/>
      <c r="I6" s="332"/>
      <c r="J6" s="332"/>
    </row>
    <row r="7" spans="1:10" ht="13">
      <c r="C7" s="124" t="s">
        <v>2</v>
      </c>
      <c r="D7" s="331" t="s">
        <v>107</v>
      </c>
      <c r="E7" s="332"/>
      <c r="F7" s="332"/>
      <c r="G7" s="332"/>
      <c r="H7" s="332"/>
      <c r="I7" s="332"/>
      <c r="J7" s="332"/>
    </row>
    <row r="8" spans="1:10" ht="13">
      <c r="B8" s="23" t="s">
        <v>109</v>
      </c>
      <c r="C8" s="133" t="s">
        <v>108</v>
      </c>
      <c r="D8" s="343" t="s">
        <v>110</v>
      </c>
      <c r="E8" s="344"/>
      <c r="F8" s="344"/>
      <c r="G8" s="344"/>
      <c r="H8" s="344"/>
      <c r="I8" s="344"/>
      <c r="J8" s="344"/>
    </row>
    <row r="9" spans="1:10" ht="15" customHeight="1" thickBot="1">
      <c r="B9" s="23" t="s">
        <v>110</v>
      </c>
      <c r="C9" s="125" t="s">
        <v>5</v>
      </c>
      <c r="D9" s="327" t="s">
        <v>198</v>
      </c>
      <c r="E9" s="328"/>
      <c r="F9" s="328"/>
      <c r="G9" s="328"/>
      <c r="H9" s="328"/>
      <c r="I9" s="328"/>
      <c r="J9" s="328"/>
    </row>
    <row r="10" spans="1:10" ht="13.5" thickBot="1">
      <c r="C10" s="1"/>
      <c r="D10" s="1"/>
      <c r="E10" s="1"/>
      <c r="F10" s="1"/>
      <c r="G10" s="1"/>
      <c r="H10" s="1"/>
    </row>
    <row r="11" spans="1:10" ht="19.899999999999999" customHeight="1" thickBot="1">
      <c r="C11" s="279" t="s">
        <v>6</v>
      </c>
      <c r="D11" s="303"/>
      <c r="E11" s="303"/>
      <c r="F11" s="303"/>
      <c r="G11" s="303"/>
      <c r="H11" s="303"/>
      <c r="I11" s="303"/>
      <c r="J11" s="303"/>
    </row>
    <row r="12" spans="1:10" ht="126" customHeight="1">
      <c r="C12" s="126" t="s">
        <v>10</v>
      </c>
      <c r="D12" s="331" t="s">
        <v>197</v>
      </c>
      <c r="E12" s="332"/>
      <c r="F12" s="332"/>
      <c r="G12" s="332"/>
      <c r="H12" s="332"/>
      <c r="I12" s="332"/>
      <c r="J12" s="332"/>
    </row>
    <row r="13" spans="1:10" ht="13" thickBot="1"/>
    <row r="14" spans="1:10" ht="19.899999999999999" customHeight="1" thickBot="1">
      <c r="C14" s="302" t="s">
        <v>8</v>
      </c>
      <c r="D14" s="303"/>
      <c r="E14" s="303"/>
      <c r="F14" s="303"/>
      <c r="G14" s="303"/>
      <c r="H14" s="303"/>
      <c r="I14" s="303"/>
      <c r="J14" s="303"/>
    </row>
    <row r="15" spans="1:10" ht="114.75" customHeight="1" thickBot="1">
      <c r="C15" s="127" t="s">
        <v>9</v>
      </c>
      <c r="D15" s="364" t="s">
        <v>199</v>
      </c>
      <c r="E15" s="365"/>
      <c r="F15" s="365"/>
      <c r="G15" s="365"/>
      <c r="H15" s="365"/>
      <c r="I15" s="365"/>
      <c r="J15" s="365"/>
    </row>
    <row r="16" spans="1:10" ht="117.65" customHeight="1" thickBot="1">
      <c r="C16" s="125" t="s">
        <v>157</v>
      </c>
      <c r="D16" s="364" t="s">
        <v>282</v>
      </c>
      <c r="E16" s="365"/>
      <c r="F16" s="365"/>
      <c r="G16" s="365"/>
      <c r="H16" s="365"/>
      <c r="I16" s="365"/>
      <c r="J16" s="365"/>
    </row>
    <row r="18" spans="2:10" ht="13" thickBot="1"/>
    <row r="19" spans="2:10" ht="19.899999999999999" customHeight="1" thickBot="1">
      <c r="C19" s="279" t="s">
        <v>20</v>
      </c>
      <c r="D19" s="280"/>
      <c r="E19" s="280"/>
      <c r="F19" s="280"/>
      <c r="G19" s="280"/>
      <c r="H19" s="280"/>
      <c r="I19" s="280"/>
      <c r="J19" s="363"/>
    </row>
    <row r="20" spans="2:10" ht="13.5" thickBot="1">
      <c r="C20" s="6"/>
      <c r="D20" s="5"/>
      <c r="E20" s="5"/>
      <c r="F20" s="5"/>
      <c r="G20" s="5"/>
      <c r="H20" s="5"/>
      <c r="I20" s="5"/>
      <c r="J20" s="5"/>
    </row>
    <row r="21" spans="2:10" ht="16" thickBot="1">
      <c r="B21" s="2" t="s">
        <v>98</v>
      </c>
      <c r="C21" s="282" t="s">
        <v>21</v>
      </c>
      <c r="D21" s="283"/>
      <c r="E21" s="283"/>
      <c r="F21" s="283"/>
      <c r="G21" s="283"/>
      <c r="H21" s="283"/>
      <c r="I21" s="283"/>
      <c r="J21" s="342"/>
    </row>
    <row r="22" spans="2:10" ht="14.5" customHeight="1" thickBot="1">
      <c r="B22" s="2" t="s">
        <v>99</v>
      </c>
      <c r="C22" s="13" t="str">
        <f>$D$9</f>
        <v>kt (1000 tonnes)</v>
      </c>
      <c r="D22" s="39" t="s">
        <v>182</v>
      </c>
      <c r="E22" s="39"/>
      <c r="F22" s="39" t="s">
        <v>259</v>
      </c>
      <c r="G22" s="39"/>
      <c r="H22" s="39" t="s">
        <v>256</v>
      </c>
      <c r="I22" s="39"/>
      <c r="J22" s="12" t="s">
        <v>86</v>
      </c>
    </row>
    <row r="23" spans="2:10" ht="13" thickBot="1">
      <c r="C23" s="112" t="s">
        <v>158</v>
      </c>
      <c r="D23" s="3">
        <v>250</v>
      </c>
      <c r="E23" s="34" t="s">
        <v>98</v>
      </c>
      <c r="F23" s="3">
        <v>120</v>
      </c>
      <c r="G23" s="34" t="s">
        <v>98</v>
      </c>
      <c r="H23" s="3">
        <v>1200</v>
      </c>
      <c r="I23" s="34" t="s">
        <v>98</v>
      </c>
      <c r="J23" s="7"/>
    </row>
    <row r="24" spans="2:10" ht="13" thickBot="1">
      <c r="C24" s="112" t="s">
        <v>158</v>
      </c>
      <c r="D24" s="109"/>
      <c r="E24" s="108"/>
      <c r="F24" s="109">
        <v>130</v>
      </c>
      <c r="G24" s="108" t="s">
        <v>98</v>
      </c>
      <c r="H24" s="109">
        <v>1100</v>
      </c>
      <c r="I24" s="108" t="s">
        <v>98</v>
      </c>
      <c r="J24" s="178"/>
    </row>
    <row r="25" spans="2:10" ht="13" thickBot="1">
      <c r="C25" s="112" t="s">
        <v>158</v>
      </c>
      <c r="D25" s="109"/>
      <c r="E25" s="108" t="s">
        <v>98</v>
      </c>
      <c r="F25" s="109"/>
      <c r="G25" s="108"/>
      <c r="H25" s="109"/>
      <c r="I25" s="108"/>
      <c r="J25" s="178"/>
    </row>
    <row r="26" spans="2:10" ht="13">
      <c r="C26" s="19" t="s">
        <v>16</v>
      </c>
      <c r="D26" s="307">
        <f>MIN(D23:D25)</f>
        <v>250</v>
      </c>
      <c r="E26" s="307"/>
      <c r="F26" s="307">
        <f>MIN(F23:F25)</f>
        <v>120</v>
      </c>
      <c r="G26" s="307"/>
      <c r="H26" s="307">
        <f>MIN(H23:H25)</f>
        <v>1100</v>
      </c>
      <c r="I26" s="307"/>
      <c r="J26" s="9"/>
    </row>
    <row r="27" spans="2:10" ht="13.5" thickBot="1">
      <c r="C27" s="20" t="s">
        <v>17</v>
      </c>
      <c r="D27" s="352">
        <f>MAX(D23:D25)</f>
        <v>250</v>
      </c>
      <c r="E27" s="352"/>
      <c r="F27" s="352">
        <f>MAX(F23:F25)</f>
        <v>130</v>
      </c>
      <c r="G27" s="352"/>
      <c r="H27" s="352">
        <f>MAX(H23:H25)</f>
        <v>1200</v>
      </c>
      <c r="I27" s="352"/>
      <c r="J27" s="7"/>
    </row>
    <row r="28" spans="2:10" ht="13.5" thickBot="1">
      <c r="C28" s="21" t="s">
        <v>72</v>
      </c>
      <c r="D28" s="338">
        <f>MEDIAN(D23:D25)</f>
        <v>250</v>
      </c>
      <c r="E28" s="338"/>
      <c r="F28" s="338">
        <f>MEDIAN(F23:F25)</f>
        <v>125</v>
      </c>
      <c r="G28" s="338"/>
      <c r="H28" s="338">
        <f>MEDIAN(H23:H25)</f>
        <v>1150</v>
      </c>
      <c r="I28" s="338"/>
      <c r="J28" s="175"/>
    </row>
    <row r="29" spans="2:10" ht="13.5" thickBot="1">
      <c r="C29" s="21" t="s">
        <v>19</v>
      </c>
      <c r="D29" s="338">
        <f>AVERAGEIF(E23:E25,"Y",D23:D25)</f>
        <v>250</v>
      </c>
      <c r="E29" s="338"/>
      <c r="F29" s="338">
        <f>AVERAGEIF(G23:G25,"Y",F23:F25)</f>
        <v>125</v>
      </c>
      <c r="G29" s="338"/>
      <c r="H29" s="338">
        <f>AVERAGEIF(I23:I25,"Y",H23:H25)</f>
        <v>1150</v>
      </c>
      <c r="I29" s="338"/>
      <c r="J29" s="175"/>
    </row>
    <row r="30" spans="2:10" ht="13.5" thickBot="1">
      <c r="C30" s="21" t="s">
        <v>18</v>
      </c>
      <c r="D30" s="362">
        <v>170</v>
      </c>
      <c r="E30" s="362"/>
      <c r="F30" s="362">
        <v>150</v>
      </c>
      <c r="G30" s="362"/>
      <c r="H30" s="362">
        <v>1000</v>
      </c>
      <c r="I30" s="362"/>
      <c r="J30" s="180"/>
    </row>
    <row r="31" spans="2:10" ht="13">
      <c r="C31" s="1"/>
      <c r="D31" s="3"/>
      <c r="E31" s="3"/>
      <c r="F31" s="3"/>
      <c r="G31" s="3"/>
      <c r="H31" s="3"/>
      <c r="I31" s="3"/>
      <c r="J31" s="3"/>
    </row>
  </sheetData>
  <mergeCells count="30">
    <mergeCell ref="D4:J4"/>
    <mergeCell ref="D5:J5"/>
    <mergeCell ref="D6:J6"/>
    <mergeCell ref="D7:J7"/>
    <mergeCell ref="D8:J8"/>
    <mergeCell ref="D30:E30"/>
    <mergeCell ref="F30:G30"/>
    <mergeCell ref="H30:I30"/>
    <mergeCell ref="D27:E27"/>
    <mergeCell ref="F27:G27"/>
    <mergeCell ref="H27:I27"/>
    <mergeCell ref="D29:E29"/>
    <mergeCell ref="F29:G29"/>
    <mergeCell ref="H29:I29"/>
    <mergeCell ref="C1:J1"/>
    <mergeCell ref="D28:E28"/>
    <mergeCell ref="F28:G28"/>
    <mergeCell ref="H28:I28"/>
    <mergeCell ref="C14:J14"/>
    <mergeCell ref="D15:J15"/>
    <mergeCell ref="D16:J16"/>
    <mergeCell ref="C19:J19"/>
    <mergeCell ref="D26:E26"/>
    <mergeCell ref="F26:G26"/>
    <mergeCell ref="H26:I26"/>
    <mergeCell ref="C21:J21"/>
    <mergeCell ref="D9:J9"/>
    <mergeCell ref="C11:J11"/>
    <mergeCell ref="D12:J12"/>
    <mergeCell ref="C2:J2"/>
  </mergeCells>
  <conditionalFormatting sqref="E23:E25 G23:G25 I23:I25">
    <cfRule type="cellIs" dxfId="45" priority="23" operator="equal">
      <formula>"N"</formula>
    </cfRule>
    <cfRule type="cellIs" dxfId="44" priority="24" operator="equal">
      <formula>"Y"</formula>
    </cfRule>
  </conditionalFormatting>
  <dataValidations count="2">
    <dataValidation type="list" allowBlank="1" showInputMessage="1" showErrorMessage="1" sqref="D8:J8" xr:uid="{00000000-0002-0000-0800-000000000000}">
      <formula1>$B$8:$B$9</formula1>
    </dataValidation>
    <dataValidation type="list" allowBlank="1" showInputMessage="1" showErrorMessage="1" sqref="G23:G25 I23:I25 E23:E25" xr:uid="{00000000-0002-0000-0800-000001000000}">
      <formula1>$B$21:$B$22</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1">
    <tabColor rgb="FFC00000"/>
  </sheetPr>
  <dimension ref="A1:J34"/>
  <sheetViews>
    <sheetView showGridLines="0" zoomScale="88" zoomScaleNormal="88" workbookViewId="0">
      <selection activeCell="F33" sqref="F33:G33"/>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66" t="s">
        <v>114</v>
      </c>
      <c r="D1" s="367"/>
      <c r="E1" s="367"/>
      <c r="F1" s="367"/>
      <c r="G1" s="367"/>
      <c r="H1" s="367"/>
      <c r="I1" s="367"/>
      <c r="J1" s="367"/>
    </row>
    <row r="2" spans="1:10" ht="24" customHeight="1" thickBot="1">
      <c r="C2" s="294" t="str">
        <f>'1. Criteria'!C22</f>
        <v>Acceptability</v>
      </c>
      <c r="D2" s="295"/>
      <c r="E2" s="295"/>
      <c r="F2" s="295"/>
      <c r="G2" s="295"/>
      <c r="H2" s="295"/>
      <c r="I2" s="295"/>
      <c r="J2" s="295"/>
    </row>
    <row r="3" spans="1:10" ht="13.5" thickBot="1">
      <c r="C3" s="3"/>
      <c r="D3" s="3"/>
      <c r="E3" s="3"/>
      <c r="F3" s="3"/>
      <c r="G3" s="3"/>
      <c r="H3" s="4"/>
    </row>
    <row r="4" spans="1:10" ht="26.5" customHeight="1">
      <c r="C4" s="123" t="s">
        <v>132</v>
      </c>
      <c r="D4" s="349" t="s">
        <v>209</v>
      </c>
      <c r="E4" s="350"/>
      <c r="F4" s="350"/>
      <c r="G4" s="350"/>
      <c r="H4" s="350"/>
      <c r="I4" s="350"/>
      <c r="J4" s="369"/>
    </row>
    <row r="5" spans="1:10" ht="13">
      <c r="A5" s="2" t="s">
        <v>3</v>
      </c>
      <c r="C5" s="124" t="s">
        <v>1</v>
      </c>
      <c r="D5" s="331" t="s">
        <v>213</v>
      </c>
      <c r="E5" s="332"/>
      <c r="F5" s="332"/>
      <c r="G5" s="332"/>
      <c r="H5" s="332"/>
      <c r="I5" s="332"/>
      <c r="J5" s="370"/>
    </row>
    <row r="6" spans="1:10" ht="12.75" customHeight="1">
      <c r="C6" s="124" t="s">
        <v>4</v>
      </c>
      <c r="D6" s="343" t="s">
        <v>138</v>
      </c>
      <c r="E6" s="344"/>
      <c r="F6" s="344"/>
      <c r="G6" s="344"/>
      <c r="H6" s="344"/>
      <c r="I6" s="344"/>
      <c r="J6" s="371"/>
    </row>
    <row r="7" spans="1:10" ht="13">
      <c r="C7" s="124" t="s">
        <v>2</v>
      </c>
      <c r="D7" s="331" t="s">
        <v>134</v>
      </c>
      <c r="E7" s="332"/>
      <c r="F7" s="332"/>
      <c r="G7" s="332"/>
      <c r="H7" s="332"/>
      <c r="I7" s="332"/>
      <c r="J7" s="370"/>
    </row>
    <row r="8" spans="1:10" ht="15" customHeight="1" thickBot="1">
      <c r="B8" s="23"/>
      <c r="C8" s="125" t="s">
        <v>5</v>
      </c>
      <c r="D8" s="327" t="s">
        <v>371</v>
      </c>
      <c r="E8" s="328"/>
      <c r="F8" s="328"/>
      <c r="G8" s="328"/>
      <c r="H8" s="328"/>
      <c r="I8" s="328"/>
      <c r="J8" s="368"/>
    </row>
    <row r="9" spans="1:10" ht="13.5" thickBot="1">
      <c r="C9" s="1"/>
      <c r="D9" s="1"/>
      <c r="E9" s="1"/>
      <c r="F9" s="1"/>
      <c r="G9" s="1"/>
      <c r="H9" s="1"/>
    </row>
    <row r="10" spans="1:10" ht="19.899999999999999" customHeight="1" thickBot="1">
      <c r="C10" s="279" t="s">
        <v>6</v>
      </c>
      <c r="D10" s="303"/>
      <c r="E10" s="303"/>
      <c r="F10" s="303"/>
      <c r="G10" s="303"/>
      <c r="H10" s="303"/>
      <c r="I10" s="303"/>
      <c r="J10" s="303"/>
    </row>
    <row r="11" spans="1:10" ht="51.75" customHeight="1">
      <c r="C11" s="126" t="s">
        <v>10</v>
      </c>
      <c r="D11" s="333" t="s">
        <v>142</v>
      </c>
      <c r="E11" s="334"/>
      <c r="F11" s="334"/>
      <c r="G11" s="334"/>
      <c r="H11" s="334"/>
      <c r="I11" s="334"/>
      <c r="J11" s="334"/>
    </row>
    <row r="12" spans="1:10" ht="13" thickBot="1"/>
    <row r="13" spans="1:10" ht="19.899999999999999" customHeight="1" thickBot="1">
      <c r="C13" s="302" t="s">
        <v>8</v>
      </c>
      <c r="D13" s="303"/>
      <c r="E13" s="303"/>
      <c r="F13" s="303"/>
      <c r="G13" s="303"/>
      <c r="H13" s="303"/>
      <c r="I13" s="303"/>
      <c r="J13" s="303"/>
    </row>
    <row r="14" spans="1:10" ht="102" customHeight="1">
      <c r="C14" s="127" t="s">
        <v>9</v>
      </c>
      <c r="D14" s="333" t="s">
        <v>210</v>
      </c>
      <c r="E14" s="334"/>
      <c r="F14" s="334"/>
      <c r="G14" s="334"/>
      <c r="H14" s="334"/>
      <c r="I14" s="334"/>
      <c r="J14" s="334"/>
    </row>
    <row r="15" spans="1:10" ht="26.25" customHeight="1" thickBot="1">
      <c r="C15" s="125" t="s">
        <v>157</v>
      </c>
      <c r="D15" s="364" t="s">
        <v>248</v>
      </c>
      <c r="E15" s="365"/>
      <c r="F15" s="365"/>
      <c r="G15" s="365"/>
      <c r="H15" s="365"/>
      <c r="I15" s="365"/>
      <c r="J15" s="365"/>
    </row>
    <row r="16" spans="1:10">
      <c r="C16" s="2" t="s">
        <v>7</v>
      </c>
    </row>
    <row r="17" spans="2:10" ht="13" thickBot="1"/>
    <row r="18" spans="2:10" ht="19.899999999999999" customHeight="1" thickBot="1">
      <c r="C18" s="279" t="s">
        <v>20</v>
      </c>
      <c r="D18" s="280"/>
      <c r="E18" s="280"/>
      <c r="F18" s="280"/>
      <c r="G18" s="280"/>
      <c r="H18" s="280"/>
      <c r="I18" s="280"/>
      <c r="J18" s="280"/>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28" customHeight="1" thickBot="1">
      <c r="B21" s="2" t="s">
        <v>99</v>
      </c>
      <c r="C21" s="13" t="str">
        <f>$D$8</f>
        <v>Scale 1 (low) to 5 (high)</v>
      </c>
      <c r="D21" s="39" t="s">
        <v>332</v>
      </c>
      <c r="E21" s="39"/>
      <c r="F21" s="39" t="s">
        <v>330</v>
      </c>
      <c r="G21" s="39"/>
      <c r="H21" s="39" t="s">
        <v>256</v>
      </c>
      <c r="I21" s="39"/>
      <c r="J21" s="12" t="s">
        <v>86</v>
      </c>
    </row>
    <row r="22" spans="2:10" ht="38" thickBot="1">
      <c r="C22" s="112" t="s">
        <v>307</v>
      </c>
      <c r="D22" s="3">
        <v>2</v>
      </c>
      <c r="E22" s="34" t="s">
        <v>98</v>
      </c>
      <c r="F22" s="3">
        <v>3</v>
      </c>
      <c r="G22" s="34" t="s">
        <v>98</v>
      </c>
      <c r="H22" s="3">
        <v>2</v>
      </c>
      <c r="I22" s="34" t="s">
        <v>98</v>
      </c>
      <c r="J22" s="7" t="s">
        <v>347</v>
      </c>
    </row>
    <row r="23" spans="2:10" ht="25.5" thickBot="1">
      <c r="C23" s="112" t="s">
        <v>307</v>
      </c>
      <c r="D23" s="3"/>
      <c r="E23" s="34"/>
      <c r="F23" s="3"/>
      <c r="G23" s="34"/>
      <c r="H23" s="3"/>
      <c r="I23" s="34" t="s">
        <v>98</v>
      </c>
      <c r="J23" s="7"/>
    </row>
    <row r="24" spans="2:10" ht="13" thickBot="1">
      <c r="C24" s="112" t="s">
        <v>158</v>
      </c>
      <c r="D24" s="3"/>
      <c r="E24" s="34"/>
      <c r="F24" s="3"/>
      <c r="G24" s="34"/>
      <c r="H24" s="3"/>
      <c r="I24" s="34"/>
      <c r="J24" s="7"/>
    </row>
    <row r="25" spans="2:10" ht="13" thickBot="1">
      <c r="C25" s="112" t="s">
        <v>158</v>
      </c>
      <c r="D25" s="3"/>
      <c r="E25" s="34"/>
      <c r="F25" s="3"/>
      <c r="G25" s="34"/>
      <c r="H25" s="3"/>
      <c r="I25" s="34"/>
      <c r="J25" s="7"/>
    </row>
    <row r="26" spans="2:10" ht="13" thickBot="1">
      <c r="C26" s="112" t="s">
        <v>158</v>
      </c>
      <c r="D26" s="3"/>
      <c r="E26" s="34"/>
      <c r="F26" s="3"/>
      <c r="G26" s="34"/>
      <c r="H26" s="3"/>
      <c r="I26" s="34"/>
      <c r="J26" s="7"/>
    </row>
    <row r="27" spans="2:10" ht="13" thickBot="1">
      <c r="C27" s="112" t="s">
        <v>158</v>
      </c>
      <c r="D27" s="3"/>
      <c r="E27" s="34"/>
      <c r="F27" s="3"/>
      <c r="G27" s="34"/>
      <c r="H27" s="3"/>
      <c r="I27" s="34"/>
      <c r="J27" s="7"/>
    </row>
    <row r="28" spans="2:10" ht="13" thickBot="1">
      <c r="C28" s="112" t="s">
        <v>158</v>
      </c>
      <c r="D28" s="3"/>
      <c r="E28" s="34"/>
      <c r="F28" s="3"/>
      <c r="G28" s="34"/>
      <c r="H28" s="3"/>
      <c r="I28" s="34"/>
      <c r="J28" s="7"/>
    </row>
    <row r="29" spans="2:10" ht="13.15" customHeight="1">
      <c r="C29" s="19" t="s">
        <v>16</v>
      </c>
      <c r="D29" s="307">
        <f>MIN(D22:D28)</f>
        <v>2</v>
      </c>
      <c r="E29" s="307"/>
      <c r="F29" s="307">
        <f>MIN(F22:F28)</f>
        <v>3</v>
      </c>
      <c r="G29" s="307"/>
      <c r="H29" s="307">
        <f>MIN(H22:H28)</f>
        <v>2</v>
      </c>
      <c r="I29" s="307"/>
      <c r="J29" s="9"/>
    </row>
    <row r="30" spans="2:10" ht="13.5" thickBot="1">
      <c r="C30" s="20" t="s">
        <v>17</v>
      </c>
      <c r="D30" s="352">
        <f>MAX(D22:D28)</f>
        <v>2</v>
      </c>
      <c r="E30" s="352"/>
      <c r="F30" s="352">
        <f>MAX(F22:F28)</f>
        <v>3</v>
      </c>
      <c r="G30" s="352"/>
      <c r="H30" s="352">
        <f>MAX(H22:H28)</f>
        <v>2</v>
      </c>
      <c r="I30" s="352"/>
      <c r="J30" s="7"/>
    </row>
    <row r="31" spans="2:10" ht="13.5" thickBot="1">
      <c r="C31" s="21" t="s">
        <v>72</v>
      </c>
      <c r="D31" s="338">
        <f>MEDIAN(D22:D28)</f>
        <v>2</v>
      </c>
      <c r="E31" s="338"/>
      <c r="F31" s="338">
        <f>MEDIAN(F22:F28)</f>
        <v>3</v>
      </c>
      <c r="G31" s="338"/>
      <c r="H31" s="338">
        <f>MEDIAN(H22:H28)</f>
        <v>2</v>
      </c>
      <c r="I31" s="338"/>
      <c r="J31" s="175"/>
    </row>
    <row r="32" spans="2:10" ht="13.5" thickBot="1">
      <c r="C32" s="21" t="s">
        <v>19</v>
      </c>
      <c r="D32" s="338">
        <f>AVERAGEIF(E22:E28,"Y",D22:D28)</f>
        <v>2</v>
      </c>
      <c r="E32" s="338"/>
      <c r="F32" s="338">
        <f>AVERAGEIF(G22:G28,"Y",F22:F28)</f>
        <v>3</v>
      </c>
      <c r="G32" s="338"/>
      <c r="H32" s="338">
        <f>AVERAGEIF(I22:I28,"Y",H22:H28)</f>
        <v>2</v>
      </c>
      <c r="I32" s="338"/>
      <c r="J32" s="175"/>
    </row>
    <row r="33" spans="3:10" ht="13.5" thickBot="1">
      <c r="C33" s="21" t="s">
        <v>18</v>
      </c>
      <c r="D33" s="336">
        <f>D32</f>
        <v>2</v>
      </c>
      <c r="E33" s="362"/>
      <c r="F33" s="336">
        <f t="shared" ref="F33" si="0">F32</f>
        <v>3</v>
      </c>
      <c r="G33" s="362"/>
      <c r="H33" s="336">
        <f t="shared" ref="H33" si="1">H32</f>
        <v>2</v>
      </c>
      <c r="I33" s="362"/>
      <c r="J33" s="180"/>
    </row>
    <row r="34" spans="3:10" ht="13">
      <c r="C34" s="1"/>
      <c r="D34" s="3"/>
      <c r="E34" s="3"/>
      <c r="F34" s="3"/>
      <c r="G34" s="3"/>
      <c r="H34" s="3"/>
      <c r="I34" s="3"/>
      <c r="J34" s="3"/>
    </row>
  </sheetData>
  <mergeCells count="29">
    <mergeCell ref="C10:J10"/>
    <mergeCell ref="D11:J11"/>
    <mergeCell ref="C2:J2"/>
    <mergeCell ref="D4:J4"/>
    <mergeCell ref="D5:J5"/>
    <mergeCell ref="D6:J6"/>
    <mergeCell ref="D7:J7"/>
    <mergeCell ref="D33:E33"/>
    <mergeCell ref="F33:G33"/>
    <mergeCell ref="H33:I33"/>
    <mergeCell ref="D30:E30"/>
    <mergeCell ref="F30:G30"/>
    <mergeCell ref="H30:I30"/>
    <mergeCell ref="C1:J1"/>
    <mergeCell ref="D32:E32"/>
    <mergeCell ref="F32:G32"/>
    <mergeCell ref="H32:I32"/>
    <mergeCell ref="D31:E31"/>
    <mergeCell ref="F31:G31"/>
    <mergeCell ref="H31:I31"/>
    <mergeCell ref="C20:J20"/>
    <mergeCell ref="D29:E29"/>
    <mergeCell ref="F29:G29"/>
    <mergeCell ref="H29:I29"/>
    <mergeCell ref="C13:J13"/>
    <mergeCell ref="D14:J14"/>
    <mergeCell ref="D15:J15"/>
    <mergeCell ref="C18:J18"/>
    <mergeCell ref="D8:J8"/>
  </mergeCells>
  <conditionalFormatting sqref="E22:E28 G22:G28 I22:I28">
    <cfRule type="cellIs" dxfId="43" priority="19" operator="equal">
      <formula>"N"</formula>
    </cfRule>
    <cfRule type="cellIs" dxfId="42" priority="20" operator="equal">
      <formula>"Y"</formula>
    </cfRule>
  </conditionalFormatting>
  <dataValidations count="1">
    <dataValidation type="list" allowBlank="1" showInputMessage="1" showErrorMessage="1" sqref="E22:E28 G22:G28 I22:I28" xr:uid="{00000000-0002-0000-0A00-000000000000}">
      <formula1>$B$20:$B$21</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2">
    <tabColor rgb="FFC00000"/>
  </sheetPr>
  <dimension ref="A1:J30"/>
  <sheetViews>
    <sheetView showGridLines="0" zoomScale="88" zoomScaleNormal="88" workbookViewId="0">
      <selection activeCell="F30" sqref="F30"/>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66" t="s">
        <v>115</v>
      </c>
      <c r="D1" s="367"/>
      <c r="E1" s="367"/>
      <c r="F1" s="367"/>
      <c r="G1" s="367"/>
      <c r="H1" s="367"/>
      <c r="I1" s="367"/>
      <c r="J1" s="367"/>
    </row>
    <row r="2" spans="1:10" ht="24" customHeight="1" thickBot="1">
      <c r="C2" s="294" t="str">
        <f>'1. Criteria'!C23</f>
        <v>Awareness</v>
      </c>
      <c r="D2" s="295"/>
      <c r="E2" s="295"/>
      <c r="F2" s="295"/>
      <c r="G2" s="295"/>
      <c r="H2" s="295"/>
      <c r="I2" s="295"/>
      <c r="J2" s="295"/>
    </row>
    <row r="3" spans="1:10" ht="13.5" thickBot="1">
      <c r="C3" s="3"/>
      <c r="D3" s="3"/>
      <c r="E3" s="3"/>
      <c r="F3" s="3"/>
      <c r="G3" s="3"/>
      <c r="H3" s="4"/>
    </row>
    <row r="4" spans="1:10" ht="23.15" customHeight="1">
      <c r="C4" s="123" t="s">
        <v>132</v>
      </c>
      <c r="D4" s="349" t="s">
        <v>211</v>
      </c>
      <c r="E4" s="350"/>
      <c r="F4" s="350"/>
      <c r="G4" s="350"/>
      <c r="H4" s="350"/>
      <c r="I4" s="350"/>
      <c r="J4" s="350"/>
    </row>
    <row r="5" spans="1:10" ht="13">
      <c r="A5" s="2" t="s">
        <v>3</v>
      </c>
      <c r="C5" s="124" t="s">
        <v>1</v>
      </c>
      <c r="D5" s="331" t="s">
        <v>213</v>
      </c>
      <c r="E5" s="332"/>
      <c r="F5" s="332"/>
      <c r="G5" s="332"/>
      <c r="H5" s="332"/>
      <c r="I5" s="332"/>
      <c r="J5" s="332"/>
    </row>
    <row r="6" spans="1:10" ht="13">
      <c r="C6" s="124" t="s">
        <v>4</v>
      </c>
      <c r="D6" s="331" t="s">
        <v>138</v>
      </c>
      <c r="E6" s="332"/>
      <c r="F6" s="332"/>
      <c r="G6" s="332"/>
      <c r="H6" s="332"/>
      <c r="I6" s="332"/>
      <c r="J6" s="332"/>
    </row>
    <row r="7" spans="1:10" ht="13">
      <c r="C7" s="124" t="s">
        <v>2</v>
      </c>
      <c r="D7" s="331" t="s">
        <v>134</v>
      </c>
      <c r="E7" s="332"/>
      <c r="F7" s="332"/>
      <c r="G7" s="332"/>
      <c r="H7" s="332"/>
      <c r="I7" s="332"/>
      <c r="J7" s="332"/>
    </row>
    <row r="8" spans="1:10" ht="15" customHeight="1" thickBot="1">
      <c r="B8" s="23" t="s">
        <v>110</v>
      </c>
      <c r="C8" s="125" t="s">
        <v>5</v>
      </c>
      <c r="D8" s="327" t="s">
        <v>284</v>
      </c>
      <c r="E8" s="328"/>
      <c r="F8" s="328"/>
      <c r="G8" s="328"/>
      <c r="H8" s="328"/>
      <c r="I8" s="328"/>
      <c r="J8" s="328"/>
    </row>
    <row r="9" spans="1:10" ht="13.5" thickBot="1">
      <c r="C9" s="1"/>
      <c r="D9" s="1"/>
      <c r="E9" s="1"/>
      <c r="F9" s="1"/>
      <c r="G9" s="1"/>
      <c r="H9" s="1"/>
    </row>
    <row r="10" spans="1:10" ht="19.899999999999999" customHeight="1" thickBot="1">
      <c r="C10" s="279" t="s">
        <v>6</v>
      </c>
      <c r="D10" s="303"/>
      <c r="E10" s="303"/>
      <c r="F10" s="303"/>
      <c r="G10" s="303"/>
      <c r="H10" s="303"/>
      <c r="I10" s="303"/>
      <c r="J10" s="303"/>
    </row>
    <row r="11" spans="1:10" ht="64.5" customHeight="1">
      <c r="C11" s="126" t="s">
        <v>10</v>
      </c>
      <c r="D11" s="333" t="s">
        <v>212</v>
      </c>
      <c r="E11" s="334"/>
      <c r="F11" s="334"/>
      <c r="G11" s="334"/>
      <c r="H11" s="334"/>
      <c r="I11" s="334"/>
      <c r="J11" s="334"/>
    </row>
    <row r="12" spans="1:10" ht="13" thickBot="1"/>
    <row r="13" spans="1:10" ht="19.899999999999999" customHeight="1" thickBot="1">
      <c r="C13" s="302" t="s">
        <v>8</v>
      </c>
      <c r="D13" s="303"/>
      <c r="E13" s="303"/>
      <c r="F13" s="303"/>
      <c r="G13" s="303"/>
      <c r="H13" s="303"/>
      <c r="I13" s="303"/>
      <c r="J13" s="303"/>
    </row>
    <row r="14" spans="1:10" ht="115.5" customHeight="1">
      <c r="C14" s="127" t="s">
        <v>9</v>
      </c>
      <c r="D14" s="333" t="s">
        <v>236</v>
      </c>
      <c r="E14" s="334"/>
      <c r="F14" s="334"/>
      <c r="G14" s="334"/>
      <c r="H14" s="334"/>
      <c r="I14" s="334"/>
      <c r="J14" s="334"/>
    </row>
    <row r="15" spans="1:10" ht="51.75" customHeight="1" thickBot="1">
      <c r="C15" s="125" t="s">
        <v>157</v>
      </c>
      <c r="D15" s="364" t="s">
        <v>249</v>
      </c>
      <c r="E15" s="365"/>
      <c r="F15" s="365"/>
      <c r="G15" s="365"/>
      <c r="H15" s="365"/>
      <c r="I15" s="365"/>
      <c r="J15" s="365"/>
    </row>
    <row r="16" spans="1:10">
      <c r="C16" s="2" t="s">
        <v>7</v>
      </c>
    </row>
    <row r="17" spans="2:10" ht="13" thickBot="1"/>
    <row r="18" spans="2:10" ht="19.899999999999999" customHeight="1" thickBot="1">
      <c r="C18" s="279" t="s">
        <v>20</v>
      </c>
      <c r="D18" s="280"/>
      <c r="E18" s="280"/>
      <c r="F18" s="280"/>
      <c r="G18" s="280"/>
      <c r="H18" s="280"/>
      <c r="I18" s="280"/>
      <c r="J18" s="363"/>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39.5" customHeight="1" thickBot="1">
      <c r="B21" s="2" t="s">
        <v>99</v>
      </c>
      <c r="C21" s="13" t="str">
        <f>$D$8</f>
        <v>Scale 1 to 5</v>
      </c>
      <c r="D21" s="39" t="s">
        <v>332</v>
      </c>
      <c r="E21" s="39"/>
      <c r="F21" s="39" t="s">
        <v>330</v>
      </c>
      <c r="G21" s="39"/>
      <c r="H21" s="39" t="s">
        <v>256</v>
      </c>
      <c r="I21" s="39"/>
      <c r="J21" s="12" t="s">
        <v>86</v>
      </c>
    </row>
    <row r="22" spans="2:10" ht="38" thickBot="1">
      <c r="C22" s="112" t="s">
        <v>307</v>
      </c>
      <c r="D22" s="3">
        <v>2</v>
      </c>
      <c r="E22" s="34" t="s">
        <v>98</v>
      </c>
      <c r="F22" s="3"/>
      <c r="G22" s="34" t="s">
        <v>98</v>
      </c>
      <c r="H22" s="3">
        <v>2</v>
      </c>
      <c r="I22" s="34" t="s">
        <v>98</v>
      </c>
      <c r="J22" s="7" t="s">
        <v>347</v>
      </c>
    </row>
    <row r="23" spans="2:10" ht="25.5" thickBot="1">
      <c r="C23" s="112" t="s">
        <v>307</v>
      </c>
      <c r="D23" s="3"/>
      <c r="E23" s="34" t="s">
        <v>98</v>
      </c>
      <c r="F23" s="3">
        <v>1</v>
      </c>
      <c r="G23" s="34" t="s">
        <v>98</v>
      </c>
      <c r="H23" s="3"/>
      <c r="I23" s="34" t="s">
        <v>98</v>
      </c>
      <c r="J23" s="7" t="s">
        <v>348</v>
      </c>
    </row>
    <row r="24" spans="2:10" ht="13" thickBot="1">
      <c r="C24" s="112" t="s">
        <v>158</v>
      </c>
      <c r="D24" s="3"/>
      <c r="E24" s="34"/>
      <c r="F24" s="3"/>
      <c r="G24" s="34"/>
      <c r="H24" s="3"/>
      <c r="I24" s="34"/>
      <c r="J24" s="7"/>
    </row>
    <row r="25" spans="2:10" ht="13.15" customHeight="1">
      <c r="C25" s="19" t="s">
        <v>16</v>
      </c>
      <c r="D25" s="307">
        <f>MIN(D22:D24)</f>
        <v>2</v>
      </c>
      <c r="E25" s="307"/>
      <c r="F25" s="307">
        <f>MIN(F22:F24)</f>
        <v>1</v>
      </c>
      <c r="G25" s="307"/>
      <c r="H25" s="307">
        <f>MIN(H22:H24)</f>
        <v>2</v>
      </c>
      <c r="I25" s="307"/>
      <c r="J25" s="9"/>
    </row>
    <row r="26" spans="2:10" ht="13.5" thickBot="1">
      <c r="C26" s="20" t="s">
        <v>17</v>
      </c>
      <c r="D26" s="352">
        <f>MAX(D22:D24)</f>
        <v>2</v>
      </c>
      <c r="E26" s="352"/>
      <c r="F26" s="352">
        <f>MAX(F22:F24)</f>
        <v>1</v>
      </c>
      <c r="G26" s="352"/>
      <c r="H26" s="352">
        <f>MAX(H22:H24)</f>
        <v>2</v>
      </c>
      <c r="I26" s="352"/>
      <c r="J26" s="7"/>
    </row>
    <row r="27" spans="2:10" ht="13.5" thickBot="1">
      <c r="C27" s="21" t="s">
        <v>72</v>
      </c>
      <c r="D27" s="338">
        <f>MEDIAN(D22:D24)</f>
        <v>2</v>
      </c>
      <c r="E27" s="338"/>
      <c r="F27" s="338">
        <f>MEDIAN(F22:F24)</f>
        <v>1</v>
      </c>
      <c r="G27" s="338"/>
      <c r="H27" s="338">
        <f>MEDIAN(H22:H24)</f>
        <v>2</v>
      </c>
      <c r="I27" s="338"/>
      <c r="J27" s="175"/>
    </row>
    <row r="28" spans="2:10" ht="13.5" thickBot="1">
      <c r="C28" s="20" t="s">
        <v>19</v>
      </c>
      <c r="D28" s="338">
        <f>AVERAGEIF(E22:E24,"Y",D22:D24)</f>
        <v>2</v>
      </c>
      <c r="E28" s="338"/>
      <c r="F28" s="338">
        <f>AVERAGEIF(G22:G24,"Y",F22:F24)</f>
        <v>1</v>
      </c>
      <c r="G28" s="338"/>
      <c r="H28" s="338">
        <f>AVERAGEIF(I22:I24,"Y",H22:H24)</f>
        <v>2</v>
      </c>
      <c r="I28" s="338"/>
      <c r="J28" s="175"/>
    </row>
    <row r="29" spans="2:10" ht="13.5" thickBot="1">
      <c r="C29" s="21" t="s">
        <v>18</v>
      </c>
      <c r="D29" s="336">
        <f>D28</f>
        <v>2</v>
      </c>
      <c r="E29" s="336"/>
      <c r="F29" s="336">
        <f t="shared" ref="F29" si="0">F28</f>
        <v>1</v>
      </c>
      <c r="G29" s="336"/>
      <c r="H29" s="336">
        <f t="shared" ref="H29" si="1">H28</f>
        <v>2</v>
      </c>
      <c r="I29" s="336"/>
      <c r="J29" s="182"/>
    </row>
    <row r="30" spans="2:10" ht="13">
      <c r="C30" s="1"/>
      <c r="D30" s="3"/>
      <c r="E30" s="3"/>
      <c r="F30" s="3"/>
      <c r="G30" s="3"/>
      <c r="H30" s="3"/>
      <c r="I30" s="3"/>
      <c r="J30" s="3"/>
    </row>
  </sheetData>
  <mergeCells count="29">
    <mergeCell ref="F25:G25"/>
    <mergeCell ref="D27:E27"/>
    <mergeCell ref="F27:G27"/>
    <mergeCell ref="H27:I27"/>
    <mergeCell ref="D26:E26"/>
    <mergeCell ref="F26:G26"/>
    <mergeCell ref="H26:I26"/>
    <mergeCell ref="D29:E29"/>
    <mergeCell ref="F29:G29"/>
    <mergeCell ref="H29:I29"/>
    <mergeCell ref="D28:E28"/>
    <mergeCell ref="F28:G28"/>
    <mergeCell ref="H28:I28"/>
    <mergeCell ref="D15:J15"/>
    <mergeCell ref="D8:J8"/>
    <mergeCell ref="H25:I25"/>
    <mergeCell ref="C1:J1"/>
    <mergeCell ref="D7:J7"/>
    <mergeCell ref="D11:J11"/>
    <mergeCell ref="C20:J20"/>
    <mergeCell ref="C13:J13"/>
    <mergeCell ref="C18:J18"/>
    <mergeCell ref="C2:J2"/>
    <mergeCell ref="D4:J4"/>
    <mergeCell ref="D5:J5"/>
    <mergeCell ref="D6:J6"/>
    <mergeCell ref="C10:J10"/>
    <mergeCell ref="D14:J14"/>
    <mergeCell ref="D25:E25"/>
  </mergeCells>
  <conditionalFormatting sqref="E22:E24">
    <cfRule type="cellIs" dxfId="41" priority="19" operator="equal">
      <formula>"N"</formula>
    </cfRule>
    <cfRule type="cellIs" dxfId="40" priority="20" operator="equal">
      <formula>"Y"</formula>
    </cfRule>
  </conditionalFormatting>
  <conditionalFormatting sqref="G24">
    <cfRule type="cellIs" dxfId="39" priority="17" operator="equal">
      <formula>"N"</formula>
    </cfRule>
    <cfRule type="cellIs" dxfId="38" priority="18" operator="equal">
      <formula>"Y"</formula>
    </cfRule>
  </conditionalFormatting>
  <conditionalFormatting sqref="I22:I24">
    <cfRule type="cellIs" dxfId="37" priority="15" operator="equal">
      <formula>"N"</formula>
    </cfRule>
    <cfRule type="cellIs" dxfId="36" priority="16" operator="equal">
      <formula>"Y"</formula>
    </cfRule>
  </conditionalFormatting>
  <conditionalFormatting sqref="G22:G23">
    <cfRule type="cellIs" dxfId="35" priority="1" operator="equal">
      <formula>"N"</formula>
    </cfRule>
    <cfRule type="cellIs" dxfId="34" priority="2" operator="equal">
      <formula>"Y"</formula>
    </cfRule>
  </conditionalFormatting>
  <dataValidations count="1">
    <dataValidation type="list" allowBlank="1" showInputMessage="1" showErrorMessage="1" sqref="E22:E24 I22:I24 G22:G24" xr:uid="{00000000-0002-0000-0B00-000000000000}">
      <formula1>$B$20:$B$21</formula1>
    </dataValidation>
  </dataValidations>
  <pageMargins left="0.7" right="0.7" top="0.75" bottom="0.75" header="0.3" footer="0.3"/>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3">
    <tabColor rgb="FFC00000"/>
  </sheetPr>
  <dimension ref="A1:J31"/>
  <sheetViews>
    <sheetView showGridLines="0" zoomScale="88" zoomScaleNormal="88" workbookViewId="0">
      <selection activeCell="F31" sqref="F3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66" t="s">
        <v>117</v>
      </c>
      <c r="D1" s="367"/>
      <c r="E1" s="367"/>
      <c r="F1" s="367"/>
      <c r="G1" s="367"/>
      <c r="H1" s="367"/>
      <c r="I1" s="367"/>
      <c r="J1" s="367"/>
    </row>
    <row r="2" spans="1:10" ht="24" customHeight="1" thickBot="1">
      <c r="C2" s="294" t="str">
        <f>'1. Criteria'!C24</f>
        <v>Health damage</v>
      </c>
      <c r="D2" s="295"/>
      <c r="E2" s="295"/>
      <c r="F2" s="295"/>
      <c r="G2" s="295"/>
      <c r="H2" s="295"/>
      <c r="I2" s="295"/>
      <c r="J2" s="295"/>
    </row>
    <row r="3" spans="1:10" ht="13.5" thickBot="1">
      <c r="C3" s="3"/>
      <c r="D3" s="3"/>
      <c r="E3" s="3"/>
      <c r="F3" s="3"/>
      <c r="G3" s="3"/>
      <c r="H3" s="4"/>
    </row>
    <row r="4" spans="1:10" ht="39" customHeight="1">
      <c r="C4" s="123" t="s">
        <v>132</v>
      </c>
      <c r="D4" s="349" t="s">
        <v>141</v>
      </c>
      <c r="E4" s="350"/>
      <c r="F4" s="350"/>
      <c r="G4" s="350"/>
      <c r="H4" s="350"/>
      <c r="I4" s="350"/>
      <c r="J4" s="350"/>
    </row>
    <row r="5" spans="1:10" ht="13">
      <c r="A5" s="2" t="s">
        <v>3</v>
      </c>
      <c r="C5" s="124" t="s">
        <v>1</v>
      </c>
      <c r="D5" s="331" t="s">
        <v>213</v>
      </c>
      <c r="E5" s="332"/>
      <c r="F5" s="332"/>
      <c r="G5" s="332"/>
      <c r="H5" s="332"/>
      <c r="I5" s="332"/>
      <c r="J5" s="332"/>
    </row>
    <row r="6" spans="1:10" ht="13">
      <c r="C6" s="124" t="s">
        <v>4</v>
      </c>
      <c r="D6" s="331" t="s">
        <v>87</v>
      </c>
      <c r="E6" s="332"/>
      <c r="F6" s="332"/>
      <c r="G6" s="332"/>
      <c r="H6" s="332"/>
      <c r="I6" s="332"/>
      <c r="J6" s="332"/>
    </row>
    <row r="7" spans="1:10" ht="13">
      <c r="C7" s="124" t="s">
        <v>2</v>
      </c>
      <c r="D7" s="331" t="s">
        <v>134</v>
      </c>
      <c r="E7" s="332"/>
      <c r="F7" s="332"/>
      <c r="G7" s="332"/>
      <c r="H7" s="332"/>
      <c r="I7" s="332"/>
      <c r="J7" s="332"/>
    </row>
    <row r="8" spans="1:10" ht="15" customHeight="1" thickBot="1">
      <c r="B8" s="23" t="s">
        <v>110</v>
      </c>
      <c r="C8" s="125" t="s">
        <v>5</v>
      </c>
      <c r="D8" s="327" t="s">
        <v>284</v>
      </c>
      <c r="E8" s="328"/>
      <c r="F8" s="328"/>
      <c r="G8" s="328"/>
      <c r="H8" s="328"/>
      <c r="I8" s="328"/>
      <c r="J8" s="328"/>
    </row>
    <row r="9" spans="1:10" ht="13.5" thickBot="1">
      <c r="C9" s="1"/>
      <c r="D9" s="1"/>
      <c r="E9" s="1"/>
      <c r="F9" s="1"/>
      <c r="G9" s="1"/>
      <c r="H9" s="1"/>
    </row>
    <row r="10" spans="1:10" ht="19.899999999999999" customHeight="1" thickBot="1">
      <c r="C10" s="279" t="s">
        <v>6</v>
      </c>
      <c r="D10" s="303"/>
      <c r="E10" s="303"/>
      <c r="F10" s="303"/>
      <c r="G10" s="303"/>
      <c r="H10" s="303"/>
      <c r="I10" s="303"/>
      <c r="J10" s="303"/>
    </row>
    <row r="11" spans="1:10" ht="51.75" customHeight="1" thickBot="1">
      <c r="C11" s="132" t="s">
        <v>10</v>
      </c>
      <c r="D11" s="372" t="s">
        <v>214</v>
      </c>
      <c r="E11" s="373"/>
      <c r="F11" s="373"/>
      <c r="G11" s="373"/>
      <c r="H11" s="373"/>
      <c r="I11" s="373"/>
      <c r="J11" s="373"/>
    </row>
    <row r="12" spans="1:10" ht="13" thickBot="1"/>
    <row r="13" spans="1:10" ht="19.899999999999999" customHeight="1" thickBot="1">
      <c r="C13" s="302" t="s">
        <v>8</v>
      </c>
      <c r="D13" s="303"/>
      <c r="E13" s="303"/>
      <c r="F13" s="303"/>
      <c r="G13" s="303"/>
      <c r="H13" s="303"/>
      <c r="I13" s="303"/>
      <c r="J13" s="303"/>
    </row>
    <row r="14" spans="1:10" ht="162" customHeight="1">
      <c r="C14" s="127" t="str">
        <f>'1. Criteria'!C24</f>
        <v>Health damage</v>
      </c>
      <c r="D14" s="333" t="s">
        <v>215</v>
      </c>
      <c r="E14" s="334"/>
      <c r="F14" s="334"/>
      <c r="G14" s="334"/>
      <c r="H14" s="334"/>
      <c r="I14" s="334"/>
      <c r="J14" s="334"/>
    </row>
    <row r="15" spans="1:10" ht="51.75" customHeight="1" thickBot="1">
      <c r="C15" s="125" t="s">
        <v>157</v>
      </c>
      <c r="D15" s="364" t="s">
        <v>308</v>
      </c>
      <c r="E15" s="365"/>
      <c r="F15" s="365"/>
      <c r="G15" s="365"/>
      <c r="H15" s="365"/>
      <c r="I15" s="365"/>
      <c r="J15" s="365"/>
    </row>
    <row r="16" spans="1:10">
      <c r="C16" s="2" t="s">
        <v>7</v>
      </c>
    </row>
    <row r="17" spans="2:10" ht="13" thickBot="1"/>
    <row r="18" spans="2:10" ht="19.899999999999999" customHeight="1" thickBot="1">
      <c r="C18" s="279" t="s">
        <v>20</v>
      </c>
      <c r="D18" s="280"/>
      <c r="E18" s="280"/>
      <c r="F18" s="280"/>
      <c r="G18" s="280"/>
      <c r="H18" s="280"/>
      <c r="I18" s="280"/>
      <c r="J18" s="363"/>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41" customHeight="1" thickBot="1">
      <c r="B21" s="2" t="s">
        <v>99</v>
      </c>
      <c r="C21" s="13" t="str">
        <f>$D$8</f>
        <v>Scale 1 to 5</v>
      </c>
      <c r="D21" s="39" t="s">
        <v>332</v>
      </c>
      <c r="E21" s="39"/>
      <c r="F21" s="39" t="s">
        <v>330</v>
      </c>
      <c r="G21" s="39"/>
      <c r="H21" s="39" t="s">
        <v>256</v>
      </c>
      <c r="I21" s="39"/>
      <c r="J21" s="12" t="s">
        <v>86</v>
      </c>
    </row>
    <row r="22" spans="2:10" ht="25.5" thickBot="1">
      <c r="C22" s="112" t="s">
        <v>307</v>
      </c>
      <c r="D22" s="3">
        <v>1</v>
      </c>
      <c r="E22" s="34" t="s">
        <v>98</v>
      </c>
      <c r="F22" s="3">
        <v>1</v>
      </c>
      <c r="G22" s="34" t="s">
        <v>98</v>
      </c>
      <c r="H22" s="3">
        <v>3</v>
      </c>
      <c r="I22" s="34" t="s">
        <v>98</v>
      </c>
      <c r="J22" s="7"/>
    </row>
    <row r="23" spans="2:10" ht="25.5" thickBot="1">
      <c r="C23" s="112" t="s">
        <v>307</v>
      </c>
      <c r="D23" s="3"/>
      <c r="E23" s="34"/>
      <c r="F23" s="3"/>
      <c r="G23" s="34"/>
      <c r="H23" s="3"/>
      <c r="I23" s="34" t="s">
        <v>98</v>
      </c>
      <c r="J23" s="7"/>
    </row>
    <row r="24" spans="2:10" ht="13" thickBot="1">
      <c r="C24" s="112" t="s">
        <v>158</v>
      </c>
      <c r="D24" s="3"/>
      <c r="E24" s="34"/>
      <c r="F24" s="3"/>
      <c r="G24" s="34"/>
      <c r="H24" s="3"/>
      <c r="I24" s="34"/>
      <c r="J24" s="172"/>
    </row>
    <row r="25" spans="2:10" ht="13" thickBot="1">
      <c r="C25" s="112" t="s">
        <v>158</v>
      </c>
      <c r="D25" s="3"/>
      <c r="E25" s="34"/>
      <c r="F25" s="3"/>
      <c r="G25" s="34"/>
      <c r="H25" s="3"/>
      <c r="I25" s="34"/>
      <c r="J25" s="7"/>
    </row>
    <row r="26" spans="2:10" ht="13.15" customHeight="1">
      <c r="C26" s="19" t="s">
        <v>16</v>
      </c>
      <c r="D26" s="313">
        <f>MIN(D22:D25)</f>
        <v>1</v>
      </c>
      <c r="E26" s="313"/>
      <c r="F26" s="313">
        <f>MIN(F22:F25)</f>
        <v>1</v>
      </c>
      <c r="G26" s="313"/>
      <c r="H26" s="313">
        <f>MIN(H22:H25)</f>
        <v>3</v>
      </c>
      <c r="I26" s="313"/>
      <c r="J26" s="173"/>
    </row>
    <row r="27" spans="2:10" ht="13.5" thickBot="1">
      <c r="C27" s="20" t="s">
        <v>17</v>
      </c>
      <c r="D27" s="359">
        <f>MAX(D22:D25)</f>
        <v>1</v>
      </c>
      <c r="E27" s="359"/>
      <c r="F27" s="359">
        <f>MAX(F22:F25)</f>
        <v>1</v>
      </c>
      <c r="G27" s="359"/>
      <c r="H27" s="359">
        <f>MAX(H22:H25)</f>
        <v>3</v>
      </c>
      <c r="I27" s="359"/>
      <c r="J27" s="172"/>
    </row>
    <row r="28" spans="2:10" ht="13.5" thickBot="1">
      <c r="C28" s="21" t="s">
        <v>72</v>
      </c>
      <c r="D28" s="338">
        <f>MEDIAN(D22:D25)</f>
        <v>1</v>
      </c>
      <c r="E28" s="338"/>
      <c r="F28" s="338">
        <f>MEDIAN(F22:F25)</f>
        <v>1</v>
      </c>
      <c r="G28" s="338"/>
      <c r="H28" s="338">
        <f>MEDIAN(H22:H25)</f>
        <v>3</v>
      </c>
      <c r="I28" s="338"/>
      <c r="J28" s="175"/>
    </row>
    <row r="29" spans="2:10" ht="13.5" thickBot="1">
      <c r="C29" s="21" t="s">
        <v>19</v>
      </c>
      <c r="D29" s="338">
        <f>AVERAGEIF(E22:E25,"Y",D22:D25)</f>
        <v>1</v>
      </c>
      <c r="E29" s="338"/>
      <c r="F29" s="338">
        <f>AVERAGEIF(G22:G25,"Y",F22:F25)</f>
        <v>1</v>
      </c>
      <c r="G29" s="338"/>
      <c r="H29" s="338">
        <f>AVERAGEIF(I22:I25,"Y",H22:H25)</f>
        <v>3</v>
      </c>
      <c r="I29" s="338"/>
      <c r="J29" s="175"/>
    </row>
    <row r="30" spans="2:10" ht="13.5" thickBot="1">
      <c r="C30" s="21" t="s">
        <v>18</v>
      </c>
      <c r="D30" s="336">
        <f>D29</f>
        <v>1</v>
      </c>
      <c r="E30" s="362"/>
      <c r="F30" s="336">
        <f t="shared" ref="F30" si="0">F29</f>
        <v>1</v>
      </c>
      <c r="G30" s="362"/>
      <c r="H30" s="336">
        <f t="shared" ref="H30" si="1">H29</f>
        <v>3</v>
      </c>
      <c r="I30" s="362"/>
      <c r="J30" s="180"/>
    </row>
    <row r="31" spans="2:10" ht="13">
      <c r="C31" s="1"/>
      <c r="D31" s="3"/>
      <c r="E31" s="3"/>
      <c r="F31" s="3"/>
      <c r="G31" s="3"/>
      <c r="H31" s="3"/>
      <c r="I31" s="3"/>
      <c r="J31" s="3"/>
    </row>
  </sheetData>
  <mergeCells count="29">
    <mergeCell ref="D30:E30"/>
    <mergeCell ref="F30:G30"/>
    <mergeCell ref="H30:I30"/>
    <mergeCell ref="D28:E28"/>
    <mergeCell ref="D6:J6"/>
    <mergeCell ref="D7:J7"/>
    <mergeCell ref="H26:I26"/>
    <mergeCell ref="D8:J8"/>
    <mergeCell ref="C10:J10"/>
    <mergeCell ref="D11:J11"/>
    <mergeCell ref="C20:J20"/>
    <mergeCell ref="D26:E26"/>
    <mergeCell ref="F26:G26"/>
    <mergeCell ref="C1:J1"/>
    <mergeCell ref="D29:E29"/>
    <mergeCell ref="F29:G29"/>
    <mergeCell ref="H29:I29"/>
    <mergeCell ref="D27:E27"/>
    <mergeCell ref="F27:G27"/>
    <mergeCell ref="H27:I27"/>
    <mergeCell ref="C13:J13"/>
    <mergeCell ref="D14:J14"/>
    <mergeCell ref="D15:J15"/>
    <mergeCell ref="C18:J18"/>
    <mergeCell ref="C2:J2"/>
    <mergeCell ref="D4:J4"/>
    <mergeCell ref="D5:J5"/>
    <mergeCell ref="F28:G28"/>
    <mergeCell ref="H28:I28"/>
  </mergeCells>
  <conditionalFormatting sqref="E22:E25 G22:G25 I22:I25">
    <cfRule type="cellIs" dxfId="33" priority="21" operator="equal">
      <formula>"N"</formula>
    </cfRule>
    <cfRule type="cellIs" dxfId="32" priority="22" operator="equal">
      <formula>"Y"</formula>
    </cfRule>
  </conditionalFormatting>
  <dataValidations count="1">
    <dataValidation type="list" allowBlank="1" showInputMessage="1" showErrorMessage="1" sqref="E22:E25 I22:I25 G22:G25" xr:uid="{00000000-0002-0000-0C00-000000000000}">
      <formula1>$B$20:$B$21</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20">
    <tabColor rgb="FFC00000"/>
  </sheetPr>
  <dimension ref="A1:K34"/>
  <sheetViews>
    <sheetView showGridLines="0" topLeftCell="A5" zoomScale="88" zoomScaleNormal="88" workbookViewId="0">
      <selection activeCell="F34" sqref="F34"/>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66" t="s">
        <v>162</v>
      </c>
      <c r="D1" s="367"/>
      <c r="E1" s="367"/>
      <c r="F1" s="367"/>
      <c r="G1" s="367"/>
      <c r="H1" s="367"/>
      <c r="I1" s="367"/>
      <c r="J1" s="367"/>
    </row>
    <row r="2" spans="1:10" ht="24" customHeight="1" thickBot="1">
      <c r="C2" s="294" t="str">
        <f>'1. Criteria'!C25</f>
        <v>Social benefits</v>
      </c>
      <c r="D2" s="295"/>
      <c r="E2" s="295"/>
      <c r="F2" s="295"/>
      <c r="G2" s="295"/>
      <c r="H2" s="295"/>
      <c r="I2" s="295"/>
      <c r="J2" s="295"/>
    </row>
    <row r="3" spans="1:10" ht="13.5" thickBot="1">
      <c r="C3" s="3"/>
      <c r="D3" s="3"/>
      <c r="E3" s="3"/>
      <c r="F3" s="3"/>
      <c r="G3" s="3"/>
      <c r="H3" s="4"/>
    </row>
    <row r="4" spans="1:10" ht="35.5" customHeight="1">
      <c r="C4" s="123" t="s">
        <v>132</v>
      </c>
      <c r="D4" s="349" t="s">
        <v>217</v>
      </c>
      <c r="E4" s="350"/>
      <c r="F4" s="350"/>
      <c r="G4" s="350"/>
      <c r="H4" s="350"/>
      <c r="I4" s="350"/>
      <c r="J4" s="369"/>
    </row>
    <row r="5" spans="1:10" ht="13">
      <c r="A5" s="2" t="s">
        <v>3</v>
      </c>
      <c r="C5" s="124" t="s">
        <v>1</v>
      </c>
      <c r="D5" s="331" t="s">
        <v>116</v>
      </c>
      <c r="E5" s="332"/>
      <c r="F5" s="332"/>
      <c r="G5" s="332"/>
      <c r="H5" s="332"/>
      <c r="I5" s="332"/>
      <c r="J5" s="370"/>
    </row>
    <row r="6" spans="1:10" ht="13">
      <c r="C6" s="124" t="s">
        <v>4</v>
      </c>
      <c r="D6" s="331" t="s">
        <v>216</v>
      </c>
      <c r="E6" s="332"/>
      <c r="F6" s="332"/>
      <c r="G6" s="332"/>
      <c r="H6" s="332"/>
      <c r="I6" s="332"/>
      <c r="J6" s="370"/>
    </row>
    <row r="7" spans="1:10" ht="13">
      <c r="C7" s="124" t="s">
        <v>2</v>
      </c>
      <c r="D7" s="331" t="s">
        <v>107</v>
      </c>
      <c r="E7" s="332"/>
      <c r="F7" s="332"/>
      <c r="G7" s="332"/>
      <c r="H7" s="332"/>
      <c r="I7" s="332"/>
      <c r="J7" s="370"/>
    </row>
    <row r="8" spans="1:10" ht="15" customHeight="1" thickBot="1">
      <c r="B8" s="23" t="s">
        <v>110</v>
      </c>
      <c r="C8" s="125" t="s">
        <v>5</v>
      </c>
      <c r="D8" s="327" t="s">
        <v>350</v>
      </c>
      <c r="E8" s="328"/>
      <c r="F8" s="328"/>
      <c r="G8" s="328"/>
      <c r="H8" s="328"/>
      <c r="I8" s="328"/>
      <c r="J8" s="368"/>
    </row>
    <row r="9" spans="1:10" ht="13.5" thickBot="1">
      <c r="C9" s="1"/>
      <c r="D9" s="1"/>
      <c r="E9" s="1"/>
      <c r="F9" s="1"/>
      <c r="G9" s="1"/>
      <c r="H9" s="1"/>
    </row>
    <row r="10" spans="1:10" ht="19.899999999999999" customHeight="1" thickBot="1">
      <c r="C10" s="279" t="s">
        <v>6</v>
      </c>
      <c r="D10" s="303"/>
      <c r="E10" s="303"/>
      <c r="F10" s="303"/>
      <c r="G10" s="303"/>
      <c r="H10" s="303"/>
      <c r="I10" s="303"/>
      <c r="J10" s="375"/>
    </row>
    <row r="11" spans="1:10" ht="51.75" customHeight="1" thickBot="1">
      <c r="C11" s="132" t="s">
        <v>10</v>
      </c>
      <c r="D11" s="372" t="s">
        <v>218</v>
      </c>
      <c r="E11" s="373"/>
      <c r="F11" s="373"/>
      <c r="G11" s="373"/>
      <c r="H11" s="373"/>
      <c r="I11" s="373"/>
      <c r="J11" s="376"/>
    </row>
    <row r="12" spans="1:10" ht="13" thickBot="1"/>
    <row r="13" spans="1:10" ht="19.899999999999999" customHeight="1" thickBot="1">
      <c r="C13" s="302" t="s">
        <v>8</v>
      </c>
      <c r="D13" s="303"/>
      <c r="E13" s="303"/>
      <c r="F13" s="303"/>
      <c r="G13" s="303"/>
      <c r="H13" s="303"/>
      <c r="I13" s="303"/>
      <c r="J13" s="375"/>
    </row>
    <row r="14" spans="1:10" ht="114.75" customHeight="1" thickBot="1">
      <c r="C14" s="127" t="s">
        <v>9</v>
      </c>
      <c r="D14" s="372" t="s">
        <v>219</v>
      </c>
      <c r="E14" s="373"/>
      <c r="F14" s="373"/>
      <c r="G14" s="373"/>
      <c r="H14" s="373"/>
      <c r="I14" s="373"/>
      <c r="J14" s="376"/>
    </row>
    <row r="15" spans="1:10" ht="51.75" customHeight="1" thickBot="1">
      <c r="C15" s="125" t="s">
        <v>157</v>
      </c>
      <c r="D15" s="364" t="s">
        <v>281</v>
      </c>
      <c r="E15" s="365"/>
      <c r="F15" s="365"/>
      <c r="G15" s="365"/>
      <c r="H15" s="365"/>
      <c r="I15" s="365"/>
      <c r="J15" s="374"/>
    </row>
    <row r="16" spans="1:10">
      <c r="C16" s="2" t="s">
        <v>7</v>
      </c>
    </row>
    <row r="17" spans="2:10" ht="13" thickBot="1"/>
    <row r="18" spans="2:10" ht="19.899999999999999" customHeight="1" thickBot="1">
      <c r="C18" s="279" t="s">
        <v>20</v>
      </c>
      <c r="D18" s="280"/>
      <c r="E18" s="280"/>
      <c r="F18" s="280"/>
      <c r="G18" s="280"/>
      <c r="H18" s="280"/>
      <c r="I18" s="280"/>
      <c r="J18" s="363"/>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39.5" customHeight="1" thickBot="1">
      <c r="B21" s="2" t="s">
        <v>99</v>
      </c>
      <c r="C21" s="13" t="str">
        <f>$D$8</f>
        <v>number of jobs</v>
      </c>
      <c r="D21" s="39" t="s">
        <v>332</v>
      </c>
      <c r="E21" s="39"/>
      <c r="F21" s="39" t="s">
        <v>330</v>
      </c>
      <c r="G21" s="39"/>
      <c r="H21" s="39" t="s">
        <v>256</v>
      </c>
      <c r="I21" s="39"/>
      <c r="J21" s="12" t="s">
        <v>86</v>
      </c>
    </row>
    <row r="22" spans="2:10" ht="100.5" thickBot="1">
      <c r="C22" s="112" t="s">
        <v>307</v>
      </c>
      <c r="D22" s="3">
        <v>200</v>
      </c>
      <c r="E22" s="34" t="s">
        <v>98</v>
      </c>
      <c r="F22" s="3"/>
      <c r="G22" s="34"/>
      <c r="H22" s="3"/>
      <c r="I22" s="34" t="s">
        <v>98</v>
      </c>
      <c r="J22" s="7" t="s">
        <v>349</v>
      </c>
    </row>
    <row r="23" spans="2:10" ht="38" thickBot="1">
      <c r="C23" s="112" t="s">
        <v>307</v>
      </c>
      <c r="D23" s="3"/>
      <c r="E23" s="34"/>
      <c r="F23" s="3">
        <v>200</v>
      </c>
      <c r="G23" s="184" t="s">
        <v>98</v>
      </c>
      <c r="H23" s="3"/>
      <c r="I23" s="34" t="s">
        <v>98</v>
      </c>
      <c r="J23" s="7" t="s">
        <v>347</v>
      </c>
    </row>
    <row r="24" spans="2:10" ht="38" thickBot="1">
      <c r="C24" s="112" t="s">
        <v>307</v>
      </c>
      <c r="D24" s="3"/>
      <c r="E24" s="34"/>
      <c r="F24" s="3"/>
      <c r="G24" s="34"/>
      <c r="H24" s="3">
        <v>500</v>
      </c>
      <c r="I24" s="184" t="s">
        <v>98</v>
      </c>
      <c r="J24" s="172" t="s">
        <v>347</v>
      </c>
    </row>
    <row r="25" spans="2:10" ht="13" thickBot="1">
      <c r="C25" s="112" t="s">
        <v>158</v>
      </c>
      <c r="D25" s="37"/>
      <c r="E25" s="34" t="s">
        <v>99</v>
      </c>
      <c r="F25" s="3"/>
      <c r="G25" s="34"/>
      <c r="H25" s="3">
        <v>1000</v>
      </c>
      <c r="I25" s="184" t="s">
        <v>98</v>
      </c>
      <c r="J25" s="172"/>
    </row>
    <row r="26" spans="2:10" ht="13" thickBot="1">
      <c r="C26" s="112" t="s">
        <v>158</v>
      </c>
      <c r="D26" s="3"/>
      <c r="E26" s="34" t="s">
        <v>98</v>
      </c>
      <c r="F26" s="3">
        <v>500</v>
      </c>
      <c r="G26" s="184" t="s">
        <v>98</v>
      </c>
      <c r="H26" s="3"/>
      <c r="I26" s="34" t="s">
        <v>99</v>
      </c>
      <c r="J26" s="7"/>
    </row>
    <row r="27" spans="2:10" ht="30" customHeight="1" thickBot="1">
      <c r="C27" s="112" t="s">
        <v>158</v>
      </c>
      <c r="D27" s="183"/>
      <c r="E27" s="184" t="s">
        <v>99</v>
      </c>
      <c r="F27" s="183"/>
      <c r="G27" s="184" t="s">
        <v>98</v>
      </c>
      <c r="H27" s="183"/>
      <c r="I27" s="184" t="s">
        <v>99</v>
      </c>
      <c r="J27" s="185"/>
    </row>
    <row r="28" spans="2:10" ht="13" thickBot="1">
      <c r="C28" s="112" t="s">
        <v>158</v>
      </c>
      <c r="D28" s="3"/>
      <c r="E28" s="34" t="s">
        <v>99</v>
      </c>
      <c r="F28" s="3"/>
      <c r="G28" s="34" t="s">
        <v>99</v>
      </c>
      <c r="H28" s="3"/>
      <c r="I28" s="34" t="s">
        <v>99</v>
      </c>
      <c r="J28" s="7"/>
    </row>
    <row r="29" spans="2:10" ht="13.15" customHeight="1">
      <c r="C29" s="19" t="s">
        <v>16</v>
      </c>
      <c r="D29" s="313">
        <f>MIN(D22:D28)</f>
        <v>200</v>
      </c>
      <c r="E29" s="313"/>
      <c r="F29" s="313">
        <f>MIN(F22:F28)</f>
        <v>200</v>
      </c>
      <c r="G29" s="313"/>
      <c r="H29" s="313">
        <f>MIN(H22:H28)</f>
        <v>500</v>
      </c>
      <c r="I29" s="313"/>
      <c r="J29" s="173"/>
    </row>
    <row r="30" spans="2:10" ht="13.5" thickBot="1">
      <c r="C30" s="20" t="s">
        <v>17</v>
      </c>
      <c r="D30" s="359">
        <f>MAX(D22:D28)</f>
        <v>200</v>
      </c>
      <c r="E30" s="359"/>
      <c r="F30" s="359">
        <f>MAX(F22:F28)</f>
        <v>500</v>
      </c>
      <c r="G30" s="359"/>
      <c r="H30" s="359">
        <f>MAX(H22:H28)</f>
        <v>1000</v>
      </c>
      <c r="I30" s="359"/>
      <c r="J30" s="172"/>
    </row>
    <row r="31" spans="2:10" ht="13.5" thickBot="1">
      <c r="C31" s="21" t="s">
        <v>72</v>
      </c>
      <c r="D31" s="338">
        <f>MEDIAN(D22:D28)</f>
        <v>200</v>
      </c>
      <c r="E31" s="338"/>
      <c r="F31" s="338">
        <f>MEDIAN(F22:F28)</f>
        <v>350</v>
      </c>
      <c r="G31" s="338"/>
      <c r="H31" s="338">
        <f>MEDIAN(H22:H28)</f>
        <v>750</v>
      </c>
      <c r="I31" s="338"/>
      <c r="J31" s="175"/>
    </row>
    <row r="32" spans="2:10" ht="13.5" thickBot="1">
      <c r="C32" s="21" t="s">
        <v>19</v>
      </c>
      <c r="D32" s="338">
        <f>AVERAGEIF(E22:E28,"Y",D22:D28)</f>
        <v>200</v>
      </c>
      <c r="E32" s="338"/>
      <c r="F32" s="338">
        <f>AVERAGEIF(G22:G28,"Y",F22:F28)</f>
        <v>350</v>
      </c>
      <c r="G32" s="338"/>
      <c r="H32" s="338">
        <f>AVERAGEIF(I22:I28,"Y",H22:H28)</f>
        <v>750</v>
      </c>
      <c r="I32" s="338"/>
      <c r="J32" s="175"/>
    </row>
    <row r="33" spans="3:11" ht="13.5" thickBot="1">
      <c r="C33" s="21" t="s">
        <v>18</v>
      </c>
      <c r="D33" s="336">
        <f>D32</f>
        <v>200</v>
      </c>
      <c r="E33" s="362"/>
      <c r="F33" s="336">
        <f>F32</f>
        <v>350</v>
      </c>
      <c r="G33" s="362"/>
      <c r="H33" s="336">
        <f>H32</f>
        <v>750</v>
      </c>
      <c r="I33" s="362"/>
      <c r="J33" s="176"/>
      <c r="K33" s="239"/>
    </row>
    <row r="34" spans="3:11" ht="13">
      <c r="C34" s="1"/>
      <c r="D34" s="3"/>
      <c r="E34" s="3"/>
      <c r="F34" s="3"/>
      <c r="G34" s="3"/>
      <c r="H34" s="3"/>
      <c r="I34" s="3"/>
      <c r="J34" s="3"/>
    </row>
  </sheetData>
  <mergeCells count="29">
    <mergeCell ref="F29:G29"/>
    <mergeCell ref="H29:I29"/>
    <mergeCell ref="D15:J15"/>
    <mergeCell ref="C2:J2"/>
    <mergeCell ref="D4:J4"/>
    <mergeCell ref="D5:J5"/>
    <mergeCell ref="D6:J6"/>
    <mergeCell ref="D7:J7"/>
    <mergeCell ref="D8:J8"/>
    <mergeCell ref="C10:J10"/>
    <mergeCell ref="D11:J11"/>
    <mergeCell ref="C13:J13"/>
    <mergeCell ref="D14:J14"/>
    <mergeCell ref="C1:J1"/>
    <mergeCell ref="D33:E33"/>
    <mergeCell ref="F33:G33"/>
    <mergeCell ref="H33:I33"/>
    <mergeCell ref="D32:E32"/>
    <mergeCell ref="F32:G32"/>
    <mergeCell ref="H32:I32"/>
    <mergeCell ref="D31:E31"/>
    <mergeCell ref="F31:G31"/>
    <mergeCell ref="H31:I31"/>
    <mergeCell ref="D30:E30"/>
    <mergeCell ref="F30:G30"/>
    <mergeCell ref="H30:I30"/>
    <mergeCell ref="C18:J18"/>
    <mergeCell ref="C20:J20"/>
    <mergeCell ref="D29:E29"/>
  </mergeCells>
  <conditionalFormatting sqref="E22:E28">
    <cfRule type="cellIs" dxfId="31" priority="25" operator="equal">
      <formula>"N"</formula>
    </cfRule>
    <cfRule type="cellIs" dxfId="30" priority="26" operator="equal">
      <formula>"Y"</formula>
    </cfRule>
  </conditionalFormatting>
  <conditionalFormatting sqref="G22:G28">
    <cfRule type="cellIs" dxfId="29" priority="23" operator="equal">
      <formula>"N"</formula>
    </cfRule>
    <cfRule type="cellIs" dxfId="28" priority="24" operator="equal">
      <formula>"Y"</formula>
    </cfRule>
  </conditionalFormatting>
  <conditionalFormatting sqref="I22:I23 I26:I28">
    <cfRule type="cellIs" dxfId="27" priority="21" operator="equal">
      <formula>"N"</formula>
    </cfRule>
    <cfRule type="cellIs" dxfId="26" priority="22" operator="equal">
      <formula>"Y"</formula>
    </cfRule>
  </conditionalFormatting>
  <conditionalFormatting sqref="I24">
    <cfRule type="cellIs" dxfId="25" priority="3" operator="equal">
      <formula>"N"</formula>
    </cfRule>
    <cfRule type="cellIs" dxfId="24" priority="4" operator="equal">
      <formula>"Y"</formula>
    </cfRule>
  </conditionalFormatting>
  <conditionalFormatting sqref="I25">
    <cfRule type="cellIs" dxfId="23" priority="1" operator="equal">
      <formula>"N"</formula>
    </cfRule>
    <cfRule type="cellIs" dxfId="22" priority="2" operator="equal">
      <formula>"Y"</formula>
    </cfRule>
  </conditionalFormatting>
  <dataValidations count="1">
    <dataValidation type="list" allowBlank="1" showInputMessage="1" showErrorMessage="1" sqref="E22:E28 G22:G28 I22:I28" xr:uid="{00000000-0002-0000-0D00-000000000000}">
      <formula1>$B$20:$B$21</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21">
    <tabColor rgb="FFC00000"/>
  </sheetPr>
  <dimension ref="A1:K34"/>
  <sheetViews>
    <sheetView topLeftCell="A12" zoomScale="88" zoomScaleNormal="88" workbookViewId="0">
      <selection activeCell="K33" sqref="K33"/>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66" t="s">
        <v>163</v>
      </c>
      <c r="D1" s="367"/>
      <c r="E1" s="367"/>
      <c r="F1" s="367"/>
      <c r="G1" s="367"/>
      <c r="H1" s="367"/>
      <c r="I1" s="367"/>
      <c r="J1" s="367"/>
    </row>
    <row r="2" spans="1:10" ht="24" customHeight="1" thickBot="1">
      <c r="C2" s="294" t="str">
        <f>'1. Criteria'!C26</f>
        <v>Expertise</v>
      </c>
      <c r="D2" s="295"/>
      <c r="E2" s="295"/>
      <c r="F2" s="295"/>
      <c r="G2" s="295"/>
      <c r="H2" s="295"/>
      <c r="I2" s="295"/>
      <c r="J2" s="295"/>
    </row>
    <row r="3" spans="1:10" ht="13.5" thickBot="1">
      <c r="C3" s="3"/>
      <c r="D3" s="3"/>
      <c r="E3" s="3"/>
      <c r="F3" s="3"/>
      <c r="G3" s="3"/>
      <c r="H3" s="4"/>
    </row>
    <row r="4" spans="1:10" ht="28.9" customHeight="1">
      <c r="C4" s="123" t="s">
        <v>132</v>
      </c>
      <c r="D4" s="349" t="s">
        <v>220</v>
      </c>
      <c r="E4" s="350"/>
      <c r="F4" s="350"/>
      <c r="G4" s="350"/>
      <c r="H4" s="350"/>
      <c r="I4" s="350"/>
      <c r="J4" s="369"/>
    </row>
    <row r="5" spans="1:10" ht="13">
      <c r="A5" s="2" t="s">
        <v>3</v>
      </c>
      <c r="C5" s="124" t="s">
        <v>1</v>
      </c>
      <c r="D5" s="331" t="s">
        <v>116</v>
      </c>
      <c r="E5" s="332"/>
      <c r="F5" s="332"/>
      <c r="G5" s="332"/>
      <c r="H5" s="332"/>
      <c r="I5" s="332"/>
      <c r="J5" s="370"/>
    </row>
    <row r="6" spans="1:10" ht="13">
      <c r="C6" s="124" t="s">
        <v>4</v>
      </c>
      <c r="D6" s="331" t="s">
        <v>216</v>
      </c>
      <c r="E6" s="332"/>
      <c r="F6" s="332"/>
      <c r="G6" s="332"/>
      <c r="H6" s="332"/>
      <c r="I6" s="332"/>
      <c r="J6" s="370"/>
    </row>
    <row r="7" spans="1:10" ht="13">
      <c r="C7" s="124" t="s">
        <v>2</v>
      </c>
      <c r="D7" s="331" t="s">
        <v>221</v>
      </c>
      <c r="E7" s="332"/>
      <c r="F7" s="332"/>
      <c r="G7" s="332"/>
      <c r="H7" s="332"/>
      <c r="I7" s="332"/>
      <c r="J7" s="370"/>
    </row>
    <row r="8" spans="1:10" ht="15" customHeight="1" thickBot="1">
      <c r="B8" s="23" t="s">
        <v>110</v>
      </c>
      <c r="C8" s="125" t="s">
        <v>5</v>
      </c>
      <c r="D8" s="327" t="s">
        <v>222</v>
      </c>
      <c r="E8" s="328"/>
      <c r="F8" s="328"/>
      <c r="G8" s="328"/>
      <c r="H8" s="328"/>
      <c r="I8" s="328"/>
      <c r="J8" s="368"/>
    </row>
    <row r="9" spans="1:10" ht="13.5" thickBot="1">
      <c r="C9" s="1"/>
      <c r="D9" s="1"/>
      <c r="E9" s="1"/>
      <c r="F9" s="1"/>
      <c r="G9" s="1"/>
      <c r="H9" s="1"/>
    </row>
    <row r="10" spans="1:10" ht="19.899999999999999" customHeight="1" thickBot="1">
      <c r="C10" s="279" t="s">
        <v>6</v>
      </c>
      <c r="D10" s="303"/>
      <c r="E10" s="303"/>
      <c r="F10" s="303"/>
      <c r="G10" s="303"/>
      <c r="H10" s="303"/>
      <c r="I10" s="303"/>
      <c r="J10" s="375"/>
    </row>
    <row r="11" spans="1:10" ht="51.75" customHeight="1" thickBot="1">
      <c r="C11" s="132" t="s">
        <v>10</v>
      </c>
      <c r="D11" s="372" t="s">
        <v>250</v>
      </c>
      <c r="E11" s="373"/>
      <c r="F11" s="373"/>
      <c r="G11" s="373"/>
      <c r="H11" s="373"/>
      <c r="I11" s="373"/>
      <c r="J11" s="376"/>
    </row>
    <row r="12" spans="1:10" ht="13" thickBot="1"/>
    <row r="13" spans="1:10" ht="19.899999999999999" customHeight="1" thickBot="1">
      <c r="C13" s="302" t="s">
        <v>8</v>
      </c>
      <c r="D13" s="303"/>
      <c r="E13" s="303"/>
      <c r="F13" s="303"/>
      <c r="G13" s="303"/>
      <c r="H13" s="303"/>
      <c r="I13" s="303"/>
      <c r="J13" s="375"/>
    </row>
    <row r="14" spans="1:10" ht="114.75" customHeight="1">
      <c r="C14" s="127" t="s">
        <v>9</v>
      </c>
      <c r="D14" s="333" t="s">
        <v>237</v>
      </c>
      <c r="E14" s="334"/>
      <c r="F14" s="334"/>
      <c r="G14" s="334"/>
      <c r="H14" s="334"/>
      <c r="I14" s="334"/>
      <c r="J14" s="377"/>
    </row>
    <row r="15" spans="1:10" ht="51.75" customHeight="1" thickBot="1">
      <c r="C15" s="125" t="s">
        <v>157</v>
      </c>
      <c r="D15" s="364" t="s">
        <v>251</v>
      </c>
      <c r="E15" s="365"/>
      <c r="F15" s="365"/>
      <c r="G15" s="365"/>
      <c r="H15" s="365"/>
      <c r="I15" s="365"/>
      <c r="J15" s="374"/>
    </row>
    <row r="16" spans="1:10">
      <c r="C16" s="2" t="s">
        <v>7</v>
      </c>
    </row>
    <row r="17" spans="2:10" ht="13" thickBot="1"/>
    <row r="18" spans="2:10" ht="19.899999999999999" customHeight="1" thickBot="1">
      <c r="C18" s="279" t="s">
        <v>20</v>
      </c>
      <c r="D18" s="280"/>
      <c r="E18" s="280"/>
      <c r="F18" s="280"/>
      <c r="G18" s="280"/>
      <c r="H18" s="280"/>
      <c r="I18" s="280"/>
      <c r="J18" s="280"/>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14.5" customHeight="1" thickBot="1">
      <c r="B21" s="2" t="s">
        <v>99</v>
      </c>
      <c r="C21" s="13" t="str">
        <f>$D$8</f>
        <v># (Number of experts)</v>
      </c>
      <c r="D21" s="39" t="s">
        <v>182</v>
      </c>
      <c r="E21" s="39"/>
      <c r="F21" s="39" t="s">
        <v>259</v>
      </c>
      <c r="G21" s="39"/>
      <c r="H21" s="39" t="s">
        <v>256</v>
      </c>
      <c r="I21" s="39"/>
      <c r="J21" s="12" t="s">
        <v>86</v>
      </c>
    </row>
    <row r="22" spans="2:10" ht="13" thickBot="1">
      <c r="C22" s="112" t="s">
        <v>158</v>
      </c>
      <c r="D22" s="3">
        <v>15</v>
      </c>
      <c r="E22" s="34" t="s">
        <v>98</v>
      </c>
      <c r="F22" s="3">
        <v>8</v>
      </c>
      <c r="G22" s="34" t="s">
        <v>98</v>
      </c>
      <c r="H22" s="3">
        <v>4</v>
      </c>
      <c r="I22" s="34" t="s">
        <v>98</v>
      </c>
      <c r="J22" s="7"/>
    </row>
    <row r="23" spans="2:10" ht="13" thickBot="1">
      <c r="C23" s="112" t="s">
        <v>158</v>
      </c>
      <c r="D23" s="3"/>
      <c r="E23" s="34"/>
      <c r="F23" s="3"/>
      <c r="G23" s="34"/>
      <c r="H23" s="3">
        <v>5</v>
      </c>
      <c r="I23" s="34" t="s">
        <v>98</v>
      </c>
      <c r="J23" s="7"/>
    </row>
    <row r="24" spans="2:10" ht="13" thickBot="1">
      <c r="C24" s="112" t="s">
        <v>158</v>
      </c>
      <c r="D24" s="3"/>
      <c r="E24" s="34"/>
      <c r="F24" s="3"/>
      <c r="G24" s="34"/>
      <c r="H24" s="3"/>
      <c r="I24" s="34"/>
      <c r="J24" s="172"/>
    </row>
    <row r="25" spans="2:10" ht="13" thickBot="1">
      <c r="C25" s="112" t="s">
        <v>158</v>
      </c>
      <c r="D25" s="37">
        <f>36055/500</f>
        <v>72.11</v>
      </c>
      <c r="E25" s="34" t="s">
        <v>99</v>
      </c>
      <c r="F25" s="3"/>
      <c r="G25" s="34"/>
      <c r="H25" s="3"/>
      <c r="I25" s="34"/>
      <c r="J25" s="172"/>
    </row>
    <row r="26" spans="2:10" ht="13" thickBot="1">
      <c r="C26" s="112" t="s">
        <v>158</v>
      </c>
      <c r="D26" s="3">
        <v>57</v>
      </c>
      <c r="E26" s="34" t="s">
        <v>98</v>
      </c>
      <c r="F26" s="3"/>
      <c r="G26" s="34"/>
      <c r="H26" s="3">
        <v>100</v>
      </c>
      <c r="I26" s="34" t="s">
        <v>99</v>
      </c>
      <c r="J26" s="7"/>
    </row>
    <row r="27" spans="2:10" ht="30" customHeight="1" thickBot="1">
      <c r="C27" s="112" t="s">
        <v>158</v>
      </c>
      <c r="D27" s="183"/>
      <c r="E27" s="184" t="s">
        <v>99</v>
      </c>
      <c r="F27" s="183"/>
      <c r="G27" s="184"/>
      <c r="H27" s="183"/>
      <c r="I27" s="184" t="s">
        <v>99</v>
      </c>
      <c r="J27" s="185"/>
    </row>
    <row r="28" spans="2:10" ht="13" thickBot="1">
      <c r="C28" s="112" t="s">
        <v>158</v>
      </c>
      <c r="D28" s="3"/>
      <c r="E28" s="34" t="s">
        <v>99</v>
      </c>
      <c r="F28" s="3"/>
      <c r="G28" s="34" t="s">
        <v>99</v>
      </c>
      <c r="H28" s="3"/>
      <c r="I28" s="34" t="s">
        <v>99</v>
      </c>
      <c r="J28" s="7"/>
    </row>
    <row r="29" spans="2:10" ht="13.15" customHeight="1">
      <c r="C29" s="19" t="s">
        <v>16</v>
      </c>
      <c r="D29" s="313">
        <f>MIN(D22:D28)</f>
        <v>15</v>
      </c>
      <c r="E29" s="313"/>
      <c r="F29" s="313">
        <f>MIN(F22:F28)</f>
        <v>8</v>
      </c>
      <c r="G29" s="313"/>
      <c r="H29" s="313">
        <f>MIN(H22:H28)</f>
        <v>4</v>
      </c>
      <c r="I29" s="313"/>
      <c r="J29" s="173"/>
    </row>
    <row r="30" spans="2:10" ht="13.5" thickBot="1">
      <c r="C30" s="20" t="s">
        <v>17</v>
      </c>
      <c r="D30" s="359">
        <f>MAX(D22:D28)</f>
        <v>72.11</v>
      </c>
      <c r="E30" s="359"/>
      <c r="F30" s="359">
        <f>MAX(F22:F28)</f>
        <v>8</v>
      </c>
      <c r="G30" s="359"/>
      <c r="H30" s="359">
        <f>MAX(H22:H28)</f>
        <v>100</v>
      </c>
      <c r="I30" s="359"/>
      <c r="J30" s="172"/>
    </row>
    <row r="31" spans="2:10" ht="13.5" thickBot="1">
      <c r="C31" s="21" t="s">
        <v>72</v>
      </c>
      <c r="D31" s="338">
        <f>MEDIAN(D22:D28)</f>
        <v>57</v>
      </c>
      <c r="E31" s="338"/>
      <c r="F31" s="338">
        <f>MEDIAN(F22:F28)</f>
        <v>8</v>
      </c>
      <c r="G31" s="338"/>
      <c r="H31" s="338">
        <f>MEDIAN(H22:H28)</f>
        <v>5</v>
      </c>
      <c r="I31" s="338"/>
      <c r="J31" s="175"/>
    </row>
    <row r="32" spans="2:10" ht="13.5" thickBot="1">
      <c r="C32" s="21" t="s">
        <v>19</v>
      </c>
      <c r="D32" s="338">
        <f>AVERAGEIF(E22:E28,"Y",D22:D28)</f>
        <v>36</v>
      </c>
      <c r="E32" s="338"/>
      <c r="F32" s="338">
        <f>AVERAGEIF(G22:G28,"Y",F22:F28)</f>
        <v>8</v>
      </c>
      <c r="G32" s="338"/>
      <c r="H32" s="338">
        <f>AVERAGEIF(I22:I28,"Y",H22:H28)</f>
        <v>4.5</v>
      </c>
      <c r="I32" s="338"/>
      <c r="J32" s="175"/>
    </row>
    <row r="33" spans="3:11" ht="13.5" thickBot="1">
      <c r="C33" s="21" t="s">
        <v>18</v>
      </c>
      <c r="D33" s="362">
        <v>35</v>
      </c>
      <c r="E33" s="362"/>
      <c r="F33" s="362">
        <v>20</v>
      </c>
      <c r="G33" s="362"/>
      <c r="H33" s="362">
        <v>5</v>
      </c>
      <c r="I33" s="362"/>
      <c r="J33" s="180"/>
      <c r="K33" s="163" t="s">
        <v>305</v>
      </c>
    </row>
    <row r="34" spans="3:11" ht="13">
      <c r="C34" s="1"/>
      <c r="D34" s="3"/>
      <c r="E34" s="3"/>
      <c r="F34" s="3"/>
      <c r="G34" s="3"/>
      <c r="H34" s="3"/>
      <c r="I34" s="3"/>
      <c r="J34" s="3"/>
    </row>
  </sheetData>
  <mergeCells count="29">
    <mergeCell ref="F29:G29"/>
    <mergeCell ref="H29:I29"/>
    <mergeCell ref="D15:J15"/>
    <mergeCell ref="C2:J2"/>
    <mergeCell ref="D4:J4"/>
    <mergeCell ref="D5:J5"/>
    <mergeCell ref="D6:J6"/>
    <mergeCell ref="D7:J7"/>
    <mergeCell ref="D8:J8"/>
    <mergeCell ref="C10:J10"/>
    <mergeCell ref="D11:J11"/>
    <mergeCell ref="C13:J13"/>
    <mergeCell ref="D14:J14"/>
    <mergeCell ref="D30:E30"/>
    <mergeCell ref="F30:G30"/>
    <mergeCell ref="H30:I30"/>
    <mergeCell ref="C1:J1"/>
    <mergeCell ref="D33:E33"/>
    <mergeCell ref="F33:G33"/>
    <mergeCell ref="H33:I33"/>
    <mergeCell ref="D32:E32"/>
    <mergeCell ref="F32:G32"/>
    <mergeCell ref="H32:I32"/>
    <mergeCell ref="D31:E31"/>
    <mergeCell ref="F31:G31"/>
    <mergeCell ref="H31:I31"/>
    <mergeCell ref="C18:J18"/>
    <mergeCell ref="C20:J20"/>
    <mergeCell ref="D29:E29"/>
  </mergeCells>
  <conditionalFormatting sqref="E22:E28">
    <cfRule type="cellIs" dxfId="21" priority="21" operator="equal">
      <formula>"N"</formula>
    </cfRule>
    <cfRule type="cellIs" dxfId="20" priority="22" operator="equal">
      <formula>"Y"</formula>
    </cfRule>
  </conditionalFormatting>
  <conditionalFormatting sqref="G22:G28">
    <cfRule type="cellIs" dxfId="19" priority="19" operator="equal">
      <formula>"N"</formula>
    </cfRule>
    <cfRule type="cellIs" dxfId="18" priority="20" operator="equal">
      <formula>"Y"</formula>
    </cfRule>
  </conditionalFormatting>
  <conditionalFormatting sqref="I22:I28">
    <cfRule type="cellIs" dxfId="17" priority="17" operator="equal">
      <formula>"N"</formula>
    </cfRule>
    <cfRule type="cellIs" dxfId="16" priority="18" operator="equal">
      <formula>"Y"</formula>
    </cfRule>
  </conditionalFormatting>
  <dataValidations count="1">
    <dataValidation type="list" allowBlank="1" showInputMessage="1" showErrorMessage="1" sqref="E22:E28 I22:I28 G22:G28" xr:uid="{00000000-0002-0000-0E00-000000000000}">
      <formula1>$B$20:$B$21</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4">
    <tabColor theme="2" tint="-0.499984740745262"/>
  </sheetPr>
  <dimension ref="A1:J32"/>
  <sheetViews>
    <sheetView showGridLines="0" zoomScale="88" zoomScaleNormal="88" workbookViewId="0">
      <selection activeCell="F31" sqref="F31:G3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78" t="s">
        <v>76</v>
      </c>
      <c r="D1" s="379"/>
      <c r="E1" s="379"/>
      <c r="F1" s="379"/>
      <c r="G1" s="379"/>
      <c r="H1" s="379"/>
      <c r="I1" s="379"/>
      <c r="J1" s="379"/>
    </row>
    <row r="2" spans="1:10" ht="40.5" customHeight="1" thickBot="1">
      <c r="C2" s="294" t="str">
        <f>'1. Criteria'!C27</f>
        <v>Plant efficiency</v>
      </c>
      <c r="D2" s="295"/>
      <c r="E2" s="295"/>
      <c r="F2" s="295"/>
      <c r="G2" s="295"/>
      <c r="H2" s="295"/>
      <c r="I2" s="295"/>
      <c r="J2" s="295"/>
    </row>
    <row r="3" spans="1:10" ht="13.5" thickBot="1">
      <c r="C3" s="3"/>
      <c r="D3" s="3"/>
      <c r="E3" s="3"/>
      <c r="F3" s="3"/>
      <c r="G3" s="3"/>
      <c r="H3" s="4"/>
    </row>
    <row r="4" spans="1:10" ht="26.5" customHeight="1">
      <c r="C4" s="123" t="s">
        <v>132</v>
      </c>
      <c r="D4" s="349" t="s">
        <v>223</v>
      </c>
      <c r="E4" s="350"/>
      <c r="F4" s="350"/>
      <c r="G4" s="350"/>
      <c r="H4" s="350"/>
      <c r="I4" s="350"/>
      <c r="J4" s="369"/>
    </row>
    <row r="5" spans="1:10" ht="13">
      <c r="A5" s="2" t="s">
        <v>3</v>
      </c>
      <c r="C5" s="124" t="s">
        <v>1</v>
      </c>
      <c r="D5" s="331" t="s">
        <v>103</v>
      </c>
      <c r="E5" s="332"/>
      <c r="F5" s="332"/>
      <c r="G5" s="332"/>
      <c r="H5" s="332"/>
      <c r="I5" s="332"/>
      <c r="J5" s="370"/>
    </row>
    <row r="6" spans="1:10" ht="13">
      <c r="C6" s="124" t="s">
        <v>4</v>
      </c>
      <c r="D6" s="331" t="s">
        <v>139</v>
      </c>
      <c r="E6" s="332"/>
      <c r="F6" s="332"/>
      <c r="G6" s="332"/>
      <c r="H6" s="332"/>
      <c r="I6" s="332"/>
      <c r="J6" s="370"/>
    </row>
    <row r="7" spans="1:10" ht="13">
      <c r="C7" s="124" t="s">
        <v>2</v>
      </c>
      <c r="D7" s="331" t="s">
        <v>107</v>
      </c>
      <c r="E7" s="332"/>
      <c r="F7" s="332"/>
      <c r="G7" s="332"/>
      <c r="H7" s="332"/>
      <c r="I7" s="332"/>
      <c r="J7" s="370"/>
    </row>
    <row r="8" spans="1:10" ht="15" customHeight="1" thickBot="1">
      <c r="B8" s="23"/>
      <c r="C8" s="125" t="s">
        <v>5</v>
      </c>
      <c r="D8" s="327" t="s">
        <v>88</v>
      </c>
      <c r="E8" s="328"/>
      <c r="F8" s="328"/>
      <c r="G8" s="328"/>
      <c r="H8" s="328"/>
      <c r="I8" s="328"/>
      <c r="J8" s="368"/>
    </row>
    <row r="9" spans="1:10" ht="13.5" thickBot="1">
      <c r="C9" s="1"/>
      <c r="D9" s="1"/>
      <c r="E9" s="1"/>
      <c r="F9" s="1"/>
      <c r="G9" s="1"/>
      <c r="H9" s="1"/>
    </row>
    <row r="10" spans="1:10" ht="19.899999999999999" customHeight="1" thickBot="1">
      <c r="C10" s="279" t="s">
        <v>6</v>
      </c>
      <c r="D10" s="303"/>
      <c r="E10" s="303"/>
      <c r="F10" s="303"/>
      <c r="G10" s="303"/>
      <c r="H10" s="303"/>
      <c r="I10" s="303"/>
      <c r="J10" s="375"/>
    </row>
    <row r="11" spans="1:10" ht="77.25" customHeight="1" thickBot="1">
      <c r="C11" s="132" t="s">
        <v>10</v>
      </c>
      <c r="D11" s="327" t="s">
        <v>224</v>
      </c>
      <c r="E11" s="328"/>
      <c r="F11" s="328"/>
      <c r="G11" s="328"/>
      <c r="H11" s="328"/>
      <c r="I11" s="328"/>
      <c r="J11" s="368"/>
    </row>
    <row r="12" spans="1:10" ht="13" thickBot="1"/>
    <row r="13" spans="1:10" ht="19.899999999999999" customHeight="1" thickBot="1">
      <c r="C13" s="302" t="s">
        <v>8</v>
      </c>
      <c r="D13" s="303"/>
      <c r="E13" s="303"/>
      <c r="F13" s="303"/>
      <c r="G13" s="303"/>
      <c r="H13" s="303"/>
      <c r="I13" s="303"/>
      <c r="J13" s="375"/>
    </row>
    <row r="14" spans="1:10" ht="127.5" customHeight="1">
      <c r="C14" s="127" t="s">
        <v>9</v>
      </c>
      <c r="D14" s="331" t="s">
        <v>225</v>
      </c>
      <c r="E14" s="332"/>
      <c r="F14" s="332"/>
      <c r="G14" s="332"/>
      <c r="H14" s="332"/>
      <c r="I14" s="332"/>
      <c r="J14" s="370"/>
    </row>
    <row r="15" spans="1:10" ht="28.5" customHeight="1" thickBot="1">
      <c r="C15" s="125" t="s">
        <v>157</v>
      </c>
      <c r="D15" s="364" t="s">
        <v>283</v>
      </c>
      <c r="E15" s="365"/>
      <c r="F15" s="365"/>
      <c r="G15" s="365"/>
      <c r="H15" s="365"/>
      <c r="I15" s="365"/>
      <c r="J15" s="374"/>
    </row>
    <row r="16" spans="1:10">
      <c r="C16" s="2" t="s">
        <v>7</v>
      </c>
    </row>
    <row r="17" spans="2:10" ht="13" thickBot="1"/>
    <row r="18" spans="2:10" ht="19.899999999999999" customHeight="1" thickBot="1">
      <c r="C18" s="279" t="s">
        <v>20</v>
      </c>
      <c r="D18" s="280"/>
      <c r="E18" s="280"/>
      <c r="F18" s="280"/>
      <c r="G18" s="280"/>
      <c r="H18" s="280"/>
      <c r="I18" s="280"/>
      <c r="J18" s="363"/>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14.5" customHeight="1" thickBot="1">
      <c r="B21" s="2" t="s">
        <v>99</v>
      </c>
      <c r="C21" s="13" t="str">
        <f>$D$8</f>
        <v>%</v>
      </c>
      <c r="D21" s="39" t="s">
        <v>332</v>
      </c>
      <c r="E21" s="39"/>
      <c r="F21" s="39" t="s">
        <v>330</v>
      </c>
      <c r="G21" s="39"/>
      <c r="H21" s="39" t="s">
        <v>256</v>
      </c>
      <c r="I21" s="39"/>
      <c r="J21" s="12" t="s">
        <v>86</v>
      </c>
    </row>
    <row r="22" spans="2:10" ht="75.5" thickBot="1">
      <c r="C22" s="112" t="s">
        <v>351</v>
      </c>
      <c r="D22" s="3">
        <v>93.5</v>
      </c>
      <c r="E22" s="34" t="s">
        <v>98</v>
      </c>
      <c r="F22" s="3"/>
      <c r="G22" s="34" t="s">
        <v>98</v>
      </c>
      <c r="H22" s="3"/>
      <c r="I22" s="34" t="s">
        <v>98</v>
      </c>
      <c r="J22" s="7"/>
    </row>
    <row r="23" spans="2:10" ht="38" thickBot="1">
      <c r="C23" s="112" t="s">
        <v>307</v>
      </c>
      <c r="D23" s="3"/>
      <c r="E23" s="34"/>
      <c r="F23" s="3">
        <v>50</v>
      </c>
      <c r="G23" s="34" t="s">
        <v>98</v>
      </c>
      <c r="H23" s="3"/>
      <c r="I23" s="34" t="s">
        <v>98</v>
      </c>
      <c r="J23" s="7" t="s">
        <v>347</v>
      </c>
    </row>
    <row r="24" spans="2:10" ht="38" thickBot="1">
      <c r="C24" s="112" t="s">
        <v>307</v>
      </c>
      <c r="D24" s="3"/>
      <c r="E24" s="34" t="s">
        <v>98</v>
      </c>
      <c r="F24" s="3"/>
      <c r="G24" s="34"/>
      <c r="H24" s="3">
        <v>86</v>
      </c>
      <c r="I24" s="34" t="s">
        <v>98</v>
      </c>
      <c r="J24" s="7" t="s">
        <v>347</v>
      </c>
    </row>
    <row r="25" spans="2:10" ht="13" thickBot="1">
      <c r="C25" s="112" t="s">
        <v>309</v>
      </c>
      <c r="D25" s="3"/>
      <c r="E25" s="34"/>
      <c r="F25" s="3"/>
      <c r="G25" s="34"/>
      <c r="H25" s="3">
        <v>33</v>
      </c>
      <c r="I25" s="34" t="s">
        <v>98</v>
      </c>
      <c r="J25" s="7"/>
    </row>
    <row r="26" spans="2:10" ht="13" thickBot="1">
      <c r="C26" s="112" t="s">
        <v>158</v>
      </c>
      <c r="D26" s="3"/>
      <c r="E26" s="34"/>
      <c r="F26" s="3"/>
      <c r="G26" s="34"/>
      <c r="H26" s="3"/>
      <c r="I26" s="34"/>
      <c r="J26" s="7"/>
    </row>
    <row r="27" spans="2:10" ht="13.15" customHeight="1">
      <c r="C27" s="19" t="s">
        <v>16</v>
      </c>
      <c r="D27" s="307">
        <f>MIN(D22:D26)</f>
        <v>93.5</v>
      </c>
      <c r="E27" s="307"/>
      <c r="F27" s="307">
        <f>MIN(F22:F26)</f>
        <v>50</v>
      </c>
      <c r="G27" s="307"/>
      <c r="H27" s="307">
        <f>MIN(H22:H26)</f>
        <v>33</v>
      </c>
      <c r="I27" s="307"/>
      <c r="J27" s="9"/>
    </row>
    <row r="28" spans="2:10" ht="13.5" thickBot="1">
      <c r="C28" s="20" t="s">
        <v>17</v>
      </c>
      <c r="D28" s="352">
        <f>MAX(D22:D26)</f>
        <v>93.5</v>
      </c>
      <c r="E28" s="352"/>
      <c r="F28" s="352">
        <f>MAX(F22:F26)</f>
        <v>50</v>
      </c>
      <c r="G28" s="352"/>
      <c r="H28" s="352">
        <f>MAX(H22:H26)</f>
        <v>86</v>
      </c>
      <c r="I28" s="352"/>
      <c r="J28" s="7"/>
    </row>
    <row r="29" spans="2:10" ht="13.5" thickBot="1">
      <c r="C29" s="21" t="s">
        <v>72</v>
      </c>
      <c r="D29" s="338">
        <f>MEDIAN(D22:D26)</f>
        <v>93.5</v>
      </c>
      <c r="E29" s="338"/>
      <c r="F29" s="338">
        <f>MEDIAN(F22:F26)</f>
        <v>50</v>
      </c>
      <c r="G29" s="338"/>
      <c r="H29" s="338">
        <f>MEDIAN(H22:H26)</f>
        <v>59.5</v>
      </c>
      <c r="I29" s="338"/>
      <c r="J29" s="175"/>
    </row>
    <row r="30" spans="2:10" ht="13.5" thickBot="1">
      <c r="C30" s="21" t="s">
        <v>19</v>
      </c>
      <c r="D30" s="338">
        <f>AVERAGEIF(E22:E26,"Y",D22:D26)</f>
        <v>93.5</v>
      </c>
      <c r="E30" s="338"/>
      <c r="F30" s="338">
        <f>AVERAGEIF(G22:G26,"Y",F22:F26)</f>
        <v>50</v>
      </c>
      <c r="G30" s="338"/>
      <c r="H30" s="338">
        <f>AVERAGEIF(I22:I26,"Y",H22:H26)</f>
        <v>59.5</v>
      </c>
      <c r="I30" s="338"/>
      <c r="J30" s="175"/>
    </row>
    <row r="31" spans="2:10" ht="13.5" thickBot="1">
      <c r="C31" s="21" t="s">
        <v>18</v>
      </c>
      <c r="D31" s="380">
        <f>D30</f>
        <v>93.5</v>
      </c>
      <c r="E31" s="380"/>
      <c r="F31" s="380">
        <f t="shared" ref="F31" si="0">F30</f>
        <v>50</v>
      </c>
      <c r="G31" s="380"/>
      <c r="H31" s="380">
        <f t="shared" ref="H31" si="1">H30</f>
        <v>59.5</v>
      </c>
      <c r="I31" s="380"/>
      <c r="J31" s="186"/>
    </row>
    <row r="32" spans="2:10" ht="13">
      <c r="C32" s="1"/>
      <c r="D32" s="3"/>
      <c r="E32" s="3"/>
      <c r="F32" s="3"/>
      <c r="G32" s="3"/>
      <c r="H32" s="3"/>
      <c r="I32" s="3"/>
      <c r="J32" s="3"/>
    </row>
  </sheetData>
  <mergeCells count="29">
    <mergeCell ref="D7:J7"/>
    <mergeCell ref="D29:E29"/>
    <mergeCell ref="F29:G29"/>
    <mergeCell ref="H29:I29"/>
    <mergeCell ref="D27:E27"/>
    <mergeCell ref="F27:G27"/>
    <mergeCell ref="H27:I27"/>
    <mergeCell ref="D31:E31"/>
    <mergeCell ref="F31:G31"/>
    <mergeCell ref="H31:I31"/>
    <mergeCell ref="D30:E30"/>
    <mergeCell ref="F30:G30"/>
    <mergeCell ref="H30:I30"/>
    <mergeCell ref="C1:J1"/>
    <mergeCell ref="D28:E28"/>
    <mergeCell ref="F28:G28"/>
    <mergeCell ref="H28:I28"/>
    <mergeCell ref="C20:J20"/>
    <mergeCell ref="C13:J13"/>
    <mergeCell ref="D14:J14"/>
    <mergeCell ref="D15:J15"/>
    <mergeCell ref="C18:J18"/>
    <mergeCell ref="D8:J8"/>
    <mergeCell ref="C10:J10"/>
    <mergeCell ref="D11:J11"/>
    <mergeCell ref="C2:J2"/>
    <mergeCell ref="D4:J4"/>
    <mergeCell ref="D5:J5"/>
    <mergeCell ref="D6:J6"/>
  </mergeCells>
  <conditionalFormatting sqref="E22:E26 I22:I26 G22:G26">
    <cfRule type="cellIs" dxfId="15" priority="3" operator="equal">
      <formula>"N"</formula>
    </cfRule>
    <cfRule type="cellIs" dxfId="14" priority="4" operator="equal">
      <formula>"Y"</formula>
    </cfRule>
  </conditionalFormatting>
  <dataValidations count="1">
    <dataValidation type="list" allowBlank="1" showInputMessage="1" showErrorMessage="1" sqref="E22:E26 I22:I26 G22:G26" xr:uid="{00000000-0002-0000-0F00-000000000000}">
      <formula1>$B$20:$B$21</formula1>
    </dataValidation>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5">
    <tabColor theme="2" tint="-0.499984740745262"/>
  </sheetPr>
  <dimension ref="A1:K31"/>
  <sheetViews>
    <sheetView zoomScale="88" zoomScaleNormal="88" workbookViewId="0">
      <selection activeCell="E15" sqref="E15:K15"/>
    </sheetView>
  </sheetViews>
  <sheetFormatPr baseColWidth="10" defaultColWidth="11.54296875" defaultRowHeight="12.5"/>
  <cols>
    <col min="1" max="1" width="2.7265625" style="2" customWidth="1"/>
    <col min="2" max="3" width="2.7265625" style="2" hidden="1" customWidth="1"/>
    <col min="4" max="4" width="23.1796875" style="2" customWidth="1"/>
    <col min="5" max="5" width="11.54296875" style="2" customWidth="1"/>
    <col min="6" max="6" width="2.54296875" style="2" customWidth="1"/>
    <col min="7" max="7" width="11.54296875" style="2"/>
    <col min="8" max="8" width="2.54296875" style="2" customWidth="1"/>
    <col min="9" max="9" width="11.54296875" style="2"/>
    <col min="10" max="10" width="2.54296875" style="2" customWidth="1"/>
    <col min="11" max="16384" width="11.54296875" style="2"/>
  </cols>
  <sheetData>
    <row r="1" spans="1:11" ht="19.5" thickBot="1">
      <c r="D1" s="378" t="s">
        <v>91</v>
      </c>
      <c r="E1" s="379"/>
      <c r="F1" s="379"/>
      <c r="G1" s="379"/>
      <c r="H1" s="379"/>
      <c r="I1" s="379"/>
      <c r="J1" s="379"/>
      <c r="K1" s="379"/>
    </row>
    <row r="2" spans="1:11" ht="24" customHeight="1" thickBot="1">
      <c r="D2" s="294" t="str">
        <f>'1. Criteria'!C28</f>
        <v>Primary energy ratio</v>
      </c>
      <c r="E2" s="295"/>
      <c r="F2" s="295"/>
      <c r="G2" s="295"/>
      <c r="H2" s="295"/>
      <c r="I2" s="295"/>
      <c r="J2" s="295"/>
      <c r="K2" s="295"/>
    </row>
    <row r="3" spans="1:11" ht="13.5" thickBot="1">
      <c r="D3" s="3"/>
      <c r="E3" s="3"/>
      <c r="F3" s="3"/>
      <c r="G3" s="3"/>
      <c r="H3" s="3"/>
      <c r="I3" s="4"/>
    </row>
    <row r="4" spans="1:11" ht="33" customHeight="1">
      <c r="C4" s="35"/>
      <c r="D4" s="123" t="s">
        <v>132</v>
      </c>
      <c r="E4" s="349" t="s">
        <v>226</v>
      </c>
      <c r="F4" s="350"/>
      <c r="G4" s="350"/>
      <c r="H4" s="350"/>
      <c r="I4" s="350"/>
      <c r="J4" s="350"/>
      <c r="K4" s="369"/>
    </row>
    <row r="5" spans="1:11" ht="13">
      <c r="A5" s="2" t="s">
        <v>3</v>
      </c>
      <c r="C5" s="35"/>
      <c r="D5" s="124" t="s">
        <v>1</v>
      </c>
      <c r="E5" s="331" t="s">
        <v>103</v>
      </c>
      <c r="F5" s="332"/>
      <c r="G5" s="332"/>
      <c r="H5" s="332"/>
      <c r="I5" s="332"/>
      <c r="J5" s="332"/>
      <c r="K5" s="370"/>
    </row>
    <row r="6" spans="1:11" ht="13">
      <c r="C6" s="35"/>
      <c r="D6" s="124" t="s">
        <v>4</v>
      </c>
      <c r="E6" s="331" t="s">
        <v>139</v>
      </c>
      <c r="F6" s="332"/>
      <c r="G6" s="332"/>
      <c r="H6" s="332"/>
      <c r="I6" s="332"/>
      <c r="J6" s="332"/>
      <c r="K6" s="370"/>
    </row>
    <row r="7" spans="1:11" ht="13">
      <c r="C7" s="35"/>
      <c r="D7" s="124" t="s">
        <v>2</v>
      </c>
      <c r="E7" s="331" t="s">
        <v>107</v>
      </c>
      <c r="F7" s="332"/>
      <c r="G7" s="332"/>
      <c r="H7" s="332"/>
      <c r="I7" s="332"/>
      <c r="J7" s="332"/>
      <c r="K7" s="370"/>
    </row>
    <row r="8" spans="1:11" ht="55.15" customHeight="1" thickBot="1">
      <c r="B8" s="23" t="s">
        <v>110</v>
      </c>
      <c r="C8" s="36"/>
      <c r="D8" s="125" t="s">
        <v>5</v>
      </c>
      <c r="E8" s="345" t="s">
        <v>88</v>
      </c>
      <c r="F8" s="346"/>
      <c r="G8" s="346"/>
      <c r="H8" s="346"/>
      <c r="I8" s="346"/>
      <c r="J8" s="346"/>
      <c r="K8" s="382"/>
    </row>
    <row r="9" spans="1:11" ht="13.5" thickBot="1">
      <c r="D9" s="1"/>
      <c r="E9" s="1"/>
      <c r="F9" s="1"/>
      <c r="G9" s="1"/>
      <c r="H9" s="1"/>
      <c r="I9" s="1"/>
    </row>
    <row r="10" spans="1:11" ht="19.899999999999999" customHeight="1" thickBot="1">
      <c r="D10" s="279" t="s">
        <v>6</v>
      </c>
      <c r="E10" s="303"/>
      <c r="F10" s="303"/>
      <c r="G10" s="303"/>
      <c r="H10" s="303"/>
      <c r="I10" s="303"/>
      <c r="J10" s="303"/>
      <c r="K10" s="375"/>
    </row>
    <row r="11" spans="1:11" ht="51.75" customHeight="1" thickBot="1">
      <c r="D11" s="132" t="s">
        <v>10</v>
      </c>
      <c r="E11" s="383" t="s">
        <v>238</v>
      </c>
      <c r="F11" s="384"/>
      <c r="G11" s="384"/>
      <c r="H11" s="384"/>
      <c r="I11" s="384"/>
      <c r="J11" s="384"/>
      <c r="K11" s="385"/>
    </row>
    <row r="12" spans="1:11" ht="13" thickBot="1"/>
    <row r="13" spans="1:11" ht="19.899999999999999" customHeight="1" thickBot="1">
      <c r="D13" s="302" t="s">
        <v>8</v>
      </c>
      <c r="E13" s="303"/>
      <c r="F13" s="303"/>
      <c r="G13" s="303"/>
      <c r="H13" s="303"/>
      <c r="I13" s="303"/>
      <c r="J13" s="303"/>
      <c r="K13" s="375"/>
    </row>
    <row r="14" spans="1:11" ht="63.75" customHeight="1">
      <c r="D14" s="127" t="s">
        <v>9</v>
      </c>
      <c r="E14" s="333" t="s">
        <v>239</v>
      </c>
      <c r="F14" s="334"/>
      <c r="G14" s="334"/>
      <c r="H14" s="334"/>
      <c r="I14" s="334"/>
      <c r="J14" s="334"/>
      <c r="K14" s="377"/>
    </row>
    <row r="15" spans="1:11" ht="64.5" customHeight="1" thickBot="1">
      <c r="D15" s="125" t="s">
        <v>157</v>
      </c>
      <c r="E15" s="364" t="s">
        <v>253</v>
      </c>
      <c r="F15" s="365"/>
      <c r="G15" s="365"/>
      <c r="H15" s="365"/>
      <c r="I15" s="365"/>
      <c r="J15" s="365"/>
      <c r="K15" s="374"/>
    </row>
    <row r="16" spans="1:11">
      <c r="D16" s="2" t="s">
        <v>7</v>
      </c>
    </row>
    <row r="17" spans="2:11" ht="13" thickBot="1"/>
    <row r="18" spans="2:11" ht="19.899999999999999" customHeight="1" thickBot="1">
      <c r="D18" s="279" t="s">
        <v>20</v>
      </c>
      <c r="E18" s="280"/>
      <c r="F18" s="280"/>
      <c r="G18" s="280"/>
      <c r="H18" s="280"/>
      <c r="I18" s="280"/>
      <c r="J18" s="280"/>
      <c r="K18" s="363"/>
    </row>
    <row r="19" spans="2:11" ht="13.5" thickBot="1">
      <c r="D19" s="6"/>
      <c r="E19" s="5"/>
      <c r="F19" s="5"/>
      <c r="G19" s="5"/>
      <c r="H19" s="5"/>
      <c r="I19" s="5"/>
      <c r="J19" s="5"/>
      <c r="K19" s="5"/>
    </row>
    <row r="20" spans="2:11" ht="16" customHeight="1" thickBot="1">
      <c r="B20" s="2" t="s">
        <v>98</v>
      </c>
      <c r="C20" s="282" t="s">
        <v>21</v>
      </c>
      <c r="D20" s="283"/>
      <c r="E20" s="283"/>
      <c r="F20" s="283"/>
      <c r="G20" s="283"/>
      <c r="H20" s="283"/>
      <c r="I20" s="283"/>
      <c r="J20" s="283"/>
      <c r="K20" s="342"/>
    </row>
    <row r="21" spans="2:11" ht="14.5" customHeight="1" thickBot="1">
      <c r="B21" s="2" t="s">
        <v>99</v>
      </c>
      <c r="C21" s="13" t="str">
        <f>$D$8</f>
        <v xml:space="preserve">  Measure</v>
      </c>
      <c r="D21" s="13" t="str">
        <f>$D$8</f>
        <v xml:space="preserve">  Measure</v>
      </c>
      <c r="E21" s="39" t="s">
        <v>182</v>
      </c>
      <c r="F21" s="39"/>
      <c r="G21" s="39" t="s">
        <v>259</v>
      </c>
      <c r="H21" s="39"/>
      <c r="I21" s="39" t="s">
        <v>256</v>
      </c>
      <c r="J21" s="39"/>
      <c r="K21" s="12" t="s">
        <v>86</v>
      </c>
    </row>
    <row r="22" spans="2:11" ht="24" customHeight="1" thickBot="1">
      <c r="C22" s="112" t="s">
        <v>158</v>
      </c>
      <c r="D22" s="112" t="s">
        <v>158</v>
      </c>
      <c r="E22" s="3"/>
      <c r="F22" s="34"/>
      <c r="G22" s="3">
        <v>33</v>
      </c>
      <c r="H22" s="34" t="s">
        <v>98</v>
      </c>
      <c r="I22" s="3">
        <v>100</v>
      </c>
      <c r="J22" s="34" t="s">
        <v>99</v>
      </c>
      <c r="K22" s="7"/>
    </row>
    <row r="23" spans="2:11" ht="11.5" customHeight="1" thickBot="1">
      <c r="C23" s="112" t="s">
        <v>158</v>
      </c>
      <c r="D23" s="112" t="s">
        <v>158</v>
      </c>
      <c r="E23" s="3">
        <v>35</v>
      </c>
      <c r="F23" s="34" t="s">
        <v>99</v>
      </c>
      <c r="G23" s="3"/>
      <c r="H23" s="34"/>
      <c r="I23" s="3">
        <v>100</v>
      </c>
      <c r="J23" s="34" t="s">
        <v>99</v>
      </c>
      <c r="K23" s="7"/>
    </row>
    <row r="24" spans="2:11" ht="18" customHeight="1" thickBot="1">
      <c r="C24" s="112" t="s">
        <v>158</v>
      </c>
      <c r="D24" s="112" t="s">
        <v>158</v>
      </c>
      <c r="E24" s="3">
        <v>33</v>
      </c>
      <c r="F24" s="34" t="s">
        <v>98</v>
      </c>
      <c r="G24" s="3"/>
      <c r="H24" s="34"/>
      <c r="I24" s="3"/>
      <c r="J24" s="34"/>
      <c r="K24" s="7"/>
    </row>
    <row r="25" spans="2:11" ht="14.5" customHeight="1" thickBot="1">
      <c r="C25" s="112" t="s">
        <v>158</v>
      </c>
      <c r="D25" s="112" t="s">
        <v>158</v>
      </c>
      <c r="E25" s="3">
        <v>33</v>
      </c>
      <c r="F25" s="34" t="s">
        <v>98</v>
      </c>
      <c r="G25" s="3">
        <v>40</v>
      </c>
      <c r="H25" s="34" t="s">
        <v>98</v>
      </c>
      <c r="I25" s="3">
        <v>70</v>
      </c>
      <c r="J25" s="34" t="s">
        <v>98</v>
      </c>
      <c r="K25" s="7"/>
    </row>
    <row r="26" spans="2:11" ht="20.5" customHeight="1" thickBot="1">
      <c r="C26" s="112" t="s">
        <v>158</v>
      </c>
      <c r="D26" s="112" t="s">
        <v>158</v>
      </c>
      <c r="E26" s="3"/>
      <c r="F26" s="34"/>
      <c r="G26" s="3"/>
      <c r="H26" s="34"/>
      <c r="I26" s="3"/>
      <c r="J26" s="34"/>
      <c r="K26" s="7"/>
    </row>
    <row r="27" spans="2:11" ht="13.15" customHeight="1">
      <c r="C27" s="19" t="s">
        <v>16</v>
      </c>
      <c r="D27" s="19" t="s">
        <v>16</v>
      </c>
      <c r="E27" s="307">
        <f>MIN(E22:E26)</f>
        <v>33</v>
      </c>
      <c r="F27" s="307"/>
      <c r="G27" s="307">
        <f>MIN(G22:G26)</f>
        <v>33</v>
      </c>
      <c r="H27" s="307"/>
      <c r="I27" s="307">
        <f>MIN(I22:I26)</f>
        <v>70</v>
      </c>
      <c r="J27" s="307"/>
      <c r="K27" s="9"/>
    </row>
    <row r="28" spans="2:11" ht="14.15" customHeight="1" thickBot="1">
      <c r="C28" s="20" t="s">
        <v>17</v>
      </c>
      <c r="D28" s="20" t="s">
        <v>17</v>
      </c>
      <c r="E28" s="352">
        <f>MAX(E22:E26)</f>
        <v>35</v>
      </c>
      <c r="F28" s="352"/>
      <c r="G28" s="352">
        <f>MAX(G22:G26)</f>
        <v>40</v>
      </c>
      <c r="H28" s="352"/>
      <c r="I28" s="352">
        <f>MAX(I22:I26)</f>
        <v>100</v>
      </c>
      <c r="J28" s="352"/>
      <c r="K28" s="7"/>
    </row>
    <row r="29" spans="2:11" ht="16.5" customHeight="1" thickBot="1">
      <c r="C29" s="21" t="s">
        <v>72</v>
      </c>
      <c r="D29" s="21" t="s">
        <v>72</v>
      </c>
      <c r="E29" s="338">
        <f>MEDIAN(E22:E26)</f>
        <v>33</v>
      </c>
      <c r="F29" s="338"/>
      <c r="G29" s="338">
        <f>MEDIAN(G22:G26)</f>
        <v>36.5</v>
      </c>
      <c r="H29" s="338"/>
      <c r="I29" s="338">
        <f>MEDIAN(I22:I26)</f>
        <v>100</v>
      </c>
      <c r="J29" s="338"/>
      <c r="K29" s="175"/>
    </row>
    <row r="30" spans="2:11" ht="17.149999999999999" customHeight="1" thickBot="1">
      <c r="C30" s="21" t="s">
        <v>19</v>
      </c>
      <c r="D30" s="21" t="s">
        <v>19</v>
      </c>
      <c r="E30" s="338">
        <f>AVERAGEIF(F22:F26,"Y",E22:E26)</f>
        <v>33</v>
      </c>
      <c r="F30" s="338"/>
      <c r="G30" s="338">
        <f>AVERAGEIF(H22:H26,"Y",G22:G26)</f>
        <v>36.5</v>
      </c>
      <c r="H30" s="338"/>
      <c r="I30" s="338">
        <f>AVERAGEIF(J22:J26,"Y",I22:I26)</f>
        <v>70</v>
      </c>
      <c r="J30" s="338"/>
      <c r="K30" s="175"/>
    </row>
    <row r="31" spans="2:11" ht="17.149999999999999" customHeight="1" thickBot="1">
      <c r="C31" s="21" t="s">
        <v>18</v>
      </c>
      <c r="D31" s="21" t="s">
        <v>18</v>
      </c>
      <c r="E31" s="381">
        <f>E30/100</f>
        <v>0.33</v>
      </c>
      <c r="F31" s="381"/>
      <c r="G31" s="381">
        <f>G30/100</f>
        <v>0.36499999999999999</v>
      </c>
      <c r="H31" s="381"/>
      <c r="I31" s="381">
        <f>I30/100</f>
        <v>0.7</v>
      </c>
      <c r="J31" s="381"/>
      <c r="K31" s="186"/>
    </row>
  </sheetData>
  <mergeCells count="29">
    <mergeCell ref="C20:K20"/>
    <mergeCell ref="E7:K7"/>
    <mergeCell ref="D10:K10"/>
    <mergeCell ref="E11:K11"/>
    <mergeCell ref="E14:K14"/>
    <mergeCell ref="E15:K15"/>
    <mergeCell ref="D18:K18"/>
    <mergeCell ref="D13:K13"/>
    <mergeCell ref="D2:K2"/>
    <mergeCell ref="E4:K4"/>
    <mergeCell ref="E5:K5"/>
    <mergeCell ref="E6:K6"/>
    <mergeCell ref="E8:K8"/>
    <mergeCell ref="E27:F27"/>
    <mergeCell ref="G27:H27"/>
    <mergeCell ref="I27:J27"/>
    <mergeCell ref="D1:K1"/>
    <mergeCell ref="E31:F31"/>
    <mergeCell ref="G31:H31"/>
    <mergeCell ref="I31:J31"/>
    <mergeCell ref="E30:F30"/>
    <mergeCell ref="G30:H30"/>
    <mergeCell ref="I30:J30"/>
    <mergeCell ref="E29:F29"/>
    <mergeCell ref="G29:H29"/>
    <mergeCell ref="I29:J29"/>
    <mergeCell ref="E28:F28"/>
    <mergeCell ref="G28:H28"/>
    <mergeCell ref="I28:J28"/>
  </mergeCells>
  <conditionalFormatting sqref="F22:F26 H22:H26 J22:J26">
    <cfRule type="cellIs" dxfId="13" priority="1" operator="equal">
      <formula>"N"</formula>
    </cfRule>
    <cfRule type="cellIs" dxfId="12" priority="2" operator="equal">
      <formula>"Y"</formula>
    </cfRule>
  </conditionalFormatting>
  <dataValidations count="1">
    <dataValidation type="list" allowBlank="1" showInputMessage="1" showErrorMessage="1" sqref="J22:J26 H22:H26 F22:F26" xr:uid="{00000000-0002-0000-1000-000000000000}">
      <formula1>$B$20:$B$21</formula1>
    </dataValidation>
  </dataValidation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6">
    <tabColor theme="2" tint="-0.499984740745262"/>
  </sheetPr>
  <dimension ref="A1:X37"/>
  <sheetViews>
    <sheetView showGridLines="0" zoomScale="88" zoomScaleNormal="88" workbookViewId="0">
      <selection activeCell="T47" sqref="T47"/>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3" width="11.54296875" style="2"/>
    <col min="14" max="14" width="19.453125" style="2" customWidth="1"/>
    <col min="15" max="16384" width="11.54296875" style="2"/>
  </cols>
  <sheetData>
    <row r="1" spans="1:24" ht="19.5" thickBot="1">
      <c r="C1" s="378" t="s">
        <v>85</v>
      </c>
      <c r="D1" s="379"/>
      <c r="E1" s="379"/>
      <c r="F1" s="379"/>
      <c r="G1" s="379"/>
      <c r="H1" s="379"/>
      <c r="I1" s="379"/>
      <c r="J1" s="379"/>
    </row>
    <row r="2" spans="1:24" ht="24" customHeight="1" thickBot="1">
      <c r="C2" s="294" t="str">
        <f>'1. Criteria'!C29</f>
        <v>Safety</v>
      </c>
      <c r="D2" s="295"/>
      <c r="E2" s="295"/>
      <c r="F2" s="295"/>
      <c r="G2" s="295"/>
      <c r="H2" s="295"/>
      <c r="I2" s="295"/>
      <c r="J2" s="295"/>
    </row>
    <row r="3" spans="1:24" ht="13.5" thickBot="1">
      <c r="C3" s="3"/>
      <c r="D3" s="3"/>
      <c r="E3" s="3"/>
      <c r="F3" s="3"/>
      <c r="G3" s="3"/>
      <c r="H3" s="4"/>
    </row>
    <row r="4" spans="1:24" ht="31" customHeight="1" thickBot="1">
      <c r="C4" s="123" t="s">
        <v>132</v>
      </c>
      <c r="D4" s="386" t="s">
        <v>254</v>
      </c>
      <c r="E4" s="387"/>
      <c r="F4" s="387"/>
      <c r="G4" s="387"/>
      <c r="H4" s="387"/>
      <c r="I4" s="387"/>
      <c r="J4" s="388"/>
    </row>
    <row r="5" spans="1:24" ht="13">
      <c r="A5" s="2" t="s">
        <v>3</v>
      </c>
      <c r="C5" s="124" t="s">
        <v>1</v>
      </c>
      <c r="D5" s="331" t="s">
        <v>103</v>
      </c>
      <c r="E5" s="332"/>
      <c r="F5" s="332"/>
      <c r="G5" s="332"/>
      <c r="H5" s="332"/>
      <c r="I5" s="332"/>
      <c r="J5" s="370"/>
    </row>
    <row r="6" spans="1:24" ht="13">
      <c r="C6" s="124" t="s">
        <v>4</v>
      </c>
      <c r="D6" s="331" t="s">
        <v>87</v>
      </c>
      <c r="E6" s="332"/>
      <c r="F6" s="332"/>
      <c r="G6" s="332"/>
      <c r="H6" s="332"/>
      <c r="I6" s="332"/>
      <c r="J6" s="370"/>
    </row>
    <row r="7" spans="1:24" ht="13">
      <c r="C7" s="124" t="s">
        <v>2</v>
      </c>
      <c r="D7" s="331" t="s">
        <v>134</v>
      </c>
      <c r="E7" s="332"/>
      <c r="F7" s="332"/>
      <c r="G7" s="332"/>
      <c r="H7" s="332"/>
      <c r="I7" s="332"/>
      <c r="J7" s="370"/>
    </row>
    <row r="8" spans="1:24" ht="15" customHeight="1" thickBot="1">
      <c r="B8" s="23" t="s">
        <v>110</v>
      </c>
      <c r="C8" s="125" t="s">
        <v>5</v>
      </c>
      <c r="D8" s="327" t="s">
        <v>310</v>
      </c>
      <c r="E8" s="328"/>
      <c r="F8" s="328"/>
      <c r="G8" s="328"/>
      <c r="H8" s="328"/>
      <c r="I8" s="328"/>
      <c r="J8" s="368"/>
    </row>
    <row r="9" spans="1:24" ht="13.5" thickBot="1">
      <c r="C9" s="1"/>
      <c r="D9" s="1"/>
      <c r="E9" s="1"/>
      <c r="F9" s="1"/>
      <c r="G9" s="1"/>
      <c r="H9" s="1"/>
    </row>
    <row r="10" spans="1:24" ht="19.899999999999999" customHeight="1" thickBot="1">
      <c r="C10" s="279" t="s">
        <v>6</v>
      </c>
      <c r="D10" s="303"/>
      <c r="E10" s="303"/>
      <c r="F10" s="303"/>
      <c r="G10" s="303"/>
      <c r="H10" s="303"/>
      <c r="I10" s="303"/>
      <c r="J10" s="375"/>
    </row>
    <row r="11" spans="1:24" ht="64.5" customHeight="1" thickBot="1">
      <c r="C11" s="132" t="s">
        <v>10</v>
      </c>
      <c r="D11" s="383" t="s">
        <v>227</v>
      </c>
      <c r="E11" s="384"/>
      <c r="F11" s="384"/>
      <c r="G11" s="384"/>
      <c r="H11" s="384"/>
      <c r="I11" s="384"/>
      <c r="J11" s="385"/>
    </row>
    <row r="12" spans="1:24" ht="13" thickBot="1"/>
    <row r="13" spans="1:24" ht="19.899999999999999" customHeight="1" thickBot="1">
      <c r="C13" s="302" t="s">
        <v>8</v>
      </c>
      <c r="D13" s="303"/>
      <c r="E13" s="303"/>
      <c r="F13" s="303"/>
      <c r="G13" s="303"/>
      <c r="H13" s="303"/>
      <c r="I13" s="303"/>
      <c r="J13" s="375"/>
    </row>
    <row r="14" spans="1:24" ht="76.5" customHeight="1">
      <c r="C14" s="127" t="s">
        <v>9</v>
      </c>
      <c r="D14" s="333" t="s">
        <v>244</v>
      </c>
      <c r="E14" s="334"/>
      <c r="F14" s="334"/>
      <c r="G14" s="334"/>
      <c r="H14" s="334"/>
      <c r="I14" s="334"/>
      <c r="J14" s="377"/>
      <c r="P14" s="134"/>
      <c r="Q14" s="134"/>
      <c r="R14" s="134"/>
      <c r="S14" s="134"/>
      <c r="T14" s="134"/>
      <c r="U14" s="134"/>
      <c r="V14" s="134"/>
      <c r="W14" s="134"/>
      <c r="X14" s="134"/>
    </row>
    <row r="15" spans="1:24" ht="34.5" customHeight="1" thickBot="1">
      <c r="C15" s="125" t="s">
        <v>157</v>
      </c>
      <c r="D15" s="364" t="s">
        <v>255</v>
      </c>
      <c r="E15" s="365"/>
      <c r="F15" s="365"/>
      <c r="G15" s="365"/>
      <c r="H15" s="365"/>
      <c r="I15" s="365"/>
      <c r="J15" s="374"/>
    </row>
    <row r="16" spans="1:24">
      <c r="C16" s="2" t="s">
        <v>7</v>
      </c>
    </row>
    <row r="17" spans="2:10" ht="13" thickBot="1"/>
    <row r="18" spans="2:10" ht="19.899999999999999" customHeight="1" thickBot="1">
      <c r="C18" s="279" t="s">
        <v>20</v>
      </c>
      <c r="D18" s="280"/>
      <c r="E18" s="280"/>
      <c r="F18" s="280"/>
      <c r="G18" s="280"/>
      <c r="H18" s="280"/>
      <c r="I18" s="280"/>
      <c r="J18" s="363"/>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34.5" customHeight="1" thickBot="1">
      <c r="B21" s="2" t="s">
        <v>99</v>
      </c>
      <c r="C21" s="13" t="s">
        <v>284</v>
      </c>
      <c r="D21" s="39" t="s">
        <v>332</v>
      </c>
      <c r="E21" s="39"/>
      <c r="F21" s="39" t="s">
        <v>330</v>
      </c>
      <c r="G21" s="39"/>
      <c r="H21" s="39" t="s">
        <v>256</v>
      </c>
      <c r="I21" s="39"/>
      <c r="J21" s="12" t="s">
        <v>86</v>
      </c>
    </row>
    <row r="22" spans="2:10" ht="25.5" thickBot="1">
      <c r="C22" s="112" t="s">
        <v>307</v>
      </c>
      <c r="D22" s="3">
        <v>5</v>
      </c>
      <c r="E22" s="34" t="s">
        <v>98</v>
      </c>
      <c r="F22" s="3">
        <v>5</v>
      </c>
      <c r="G22" s="34" t="s">
        <v>98</v>
      </c>
      <c r="H22" s="3">
        <v>2</v>
      </c>
      <c r="I22" s="34" t="s">
        <v>98</v>
      </c>
      <c r="J22" s="7"/>
    </row>
    <row r="23" spans="2:10" ht="25.5" thickBot="1">
      <c r="C23" s="112" t="s">
        <v>307</v>
      </c>
      <c r="D23" s="37"/>
      <c r="E23" s="34"/>
      <c r="F23" s="3"/>
      <c r="G23" s="34"/>
      <c r="H23" s="3"/>
      <c r="I23" s="34" t="s">
        <v>98</v>
      </c>
      <c r="J23" s="7"/>
    </row>
    <row r="24" spans="2:10" ht="13" thickBot="1">
      <c r="C24" s="112" t="s">
        <v>158</v>
      </c>
      <c r="D24" s="37"/>
      <c r="E24" s="34"/>
      <c r="F24" s="3"/>
      <c r="G24" s="34"/>
      <c r="H24" s="3"/>
      <c r="I24" s="34"/>
      <c r="J24" s="7"/>
    </row>
    <row r="25" spans="2:10" ht="13" thickBot="1">
      <c r="C25" s="112" t="s">
        <v>158</v>
      </c>
      <c r="D25" s="37"/>
      <c r="E25" s="34"/>
      <c r="F25" s="3"/>
      <c r="G25" s="34"/>
      <c r="H25" s="3"/>
      <c r="I25" s="34"/>
      <c r="J25" s="7"/>
    </row>
    <row r="26" spans="2:10" ht="13" thickBot="1">
      <c r="C26" s="112" t="s">
        <v>158</v>
      </c>
      <c r="D26" s="37"/>
      <c r="E26" s="34"/>
      <c r="F26" s="3"/>
      <c r="G26" s="34"/>
      <c r="H26" s="3"/>
      <c r="I26" s="34"/>
      <c r="J26" s="7"/>
    </row>
    <row r="27" spans="2:10" ht="13" thickBot="1">
      <c r="C27" s="112" t="s">
        <v>158</v>
      </c>
      <c r="D27" s="37"/>
      <c r="E27" s="34"/>
      <c r="F27" s="3"/>
      <c r="G27" s="34"/>
      <c r="H27" s="3"/>
      <c r="I27" s="34"/>
      <c r="J27" s="7"/>
    </row>
    <row r="28" spans="2:10" ht="13" thickBot="1">
      <c r="C28" s="112" t="s">
        <v>158</v>
      </c>
      <c r="D28" s="37"/>
      <c r="E28" s="34"/>
      <c r="F28" s="3"/>
      <c r="G28" s="34"/>
      <c r="H28" s="3"/>
      <c r="I28" s="34"/>
      <c r="J28" s="7"/>
    </row>
    <row r="29" spans="2:10" ht="13" thickBot="1">
      <c r="C29" s="112" t="s">
        <v>158</v>
      </c>
      <c r="D29" s="37"/>
      <c r="E29" s="34"/>
      <c r="F29" s="3"/>
      <c r="G29" s="34"/>
      <c r="H29" s="3"/>
      <c r="I29" s="34"/>
      <c r="J29" s="7"/>
    </row>
    <row r="30" spans="2:10" ht="13" thickBot="1">
      <c r="C30" s="112" t="s">
        <v>158</v>
      </c>
      <c r="D30" s="37"/>
      <c r="E30" s="34"/>
      <c r="F30" s="3"/>
      <c r="G30" s="34"/>
      <c r="H30" s="3"/>
      <c r="I30" s="34"/>
      <c r="J30" s="7"/>
    </row>
    <row r="31" spans="2:10" ht="13" thickBot="1">
      <c r="C31" s="112" t="s">
        <v>158</v>
      </c>
      <c r="D31" s="37"/>
      <c r="E31" s="34"/>
      <c r="F31" s="3"/>
      <c r="G31" s="34"/>
      <c r="H31" s="3"/>
      <c r="I31" s="34"/>
      <c r="J31" s="7"/>
    </row>
    <row r="32" spans="2:10" ht="13.15" customHeight="1">
      <c r="C32" s="19" t="s">
        <v>16</v>
      </c>
      <c r="D32" s="307">
        <f>MIN(D22:D31)</f>
        <v>5</v>
      </c>
      <c r="E32" s="307"/>
      <c r="F32" s="307">
        <f>MIN(F22:F31)</f>
        <v>5</v>
      </c>
      <c r="G32" s="307"/>
      <c r="H32" s="307">
        <f>MIN(H22:H31)</f>
        <v>2</v>
      </c>
      <c r="I32" s="307"/>
      <c r="J32" s="9"/>
    </row>
    <row r="33" spans="3:10" ht="13.5" thickBot="1">
      <c r="C33" s="20" t="s">
        <v>17</v>
      </c>
      <c r="D33" s="352">
        <f>MAX(D22:D31)</f>
        <v>5</v>
      </c>
      <c r="E33" s="352"/>
      <c r="F33" s="352">
        <f>MAX(F22:F31)</f>
        <v>5</v>
      </c>
      <c r="G33" s="352"/>
      <c r="H33" s="352">
        <f>MAX(H22:H31)</f>
        <v>2</v>
      </c>
      <c r="I33" s="352"/>
      <c r="J33" s="7"/>
    </row>
    <row r="34" spans="3:10" ht="13.5" thickBot="1">
      <c r="C34" s="21" t="s">
        <v>72</v>
      </c>
      <c r="D34" s="338">
        <f>MEDIAN(D22:D31)</f>
        <v>5</v>
      </c>
      <c r="E34" s="338"/>
      <c r="F34" s="338">
        <f>MEDIAN(F22:F31)</f>
        <v>5</v>
      </c>
      <c r="G34" s="338"/>
      <c r="H34" s="338">
        <f>MEDIAN(H22:H31)</f>
        <v>2</v>
      </c>
      <c r="I34" s="338"/>
      <c r="J34" s="175"/>
    </row>
    <row r="35" spans="3:10" ht="13.5" thickBot="1">
      <c r="C35" s="20" t="s">
        <v>19</v>
      </c>
      <c r="D35" s="338">
        <f>AVERAGEIF(E22:E31,"Y",D22:D31)</f>
        <v>5</v>
      </c>
      <c r="E35" s="338"/>
      <c r="F35" s="338">
        <f>AVERAGEIF(G22:G31,"Y",F22:F31)</f>
        <v>5</v>
      </c>
      <c r="G35" s="338"/>
      <c r="H35" s="338">
        <f>AVERAGEIF(I22:I31,"Y",H22:H31)</f>
        <v>2</v>
      </c>
      <c r="I35" s="338"/>
      <c r="J35" s="175"/>
    </row>
    <row r="36" spans="3:10" ht="13.5" thickBot="1">
      <c r="C36" s="21" t="s">
        <v>18</v>
      </c>
      <c r="D36" s="336">
        <f>D35</f>
        <v>5</v>
      </c>
      <c r="E36" s="362"/>
      <c r="F36" s="336">
        <f t="shared" ref="F36" si="0">F35</f>
        <v>5</v>
      </c>
      <c r="G36" s="362"/>
      <c r="H36" s="336">
        <f t="shared" ref="H36" si="1">H35</f>
        <v>2</v>
      </c>
      <c r="I36" s="362"/>
      <c r="J36" s="182"/>
    </row>
    <row r="37" spans="3:10" ht="13">
      <c r="C37" s="1"/>
      <c r="D37" s="3"/>
      <c r="E37" s="3"/>
      <c r="F37" s="3"/>
      <c r="G37" s="3"/>
      <c r="H37" s="3"/>
      <c r="I37" s="3"/>
      <c r="J37" s="3"/>
    </row>
  </sheetData>
  <mergeCells count="29">
    <mergeCell ref="D36:E36"/>
    <mergeCell ref="F36:G36"/>
    <mergeCell ref="H36:I36"/>
    <mergeCell ref="D35:E35"/>
    <mergeCell ref="F35:G35"/>
    <mergeCell ref="H35:I35"/>
    <mergeCell ref="H32:I32"/>
    <mergeCell ref="H34:I34"/>
    <mergeCell ref="D5:J5"/>
    <mergeCell ref="D6:J6"/>
    <mergeCell ref="D33:E33"/>
    <mergeCell ref="F33:G33"/>
    <mergeCell ref="H33:I33"/>
    <mergeCell ref="C2:J2"/>
    <mergeCell ref="D4:J4"/>
    <mergeCell ref="D34:E34"/>
    <mergeCell ref="F34:G34"/>
    <mergeCell ref="C1:J1"/>
    <mergeCell ref="D7:J7"/>
    <mergeCell ref="C20:J20"/>
    <mergeCell ref="D32:E32"/>
    <mergeCell ref="F32:G32"/>
    <mergeCell ref="C13:J13"/>
    <mergeCell ref="D14:J14"/>
    <mergeCell ref="D15:J15"/>
    <mergeCell ref="C18:J18"/>
    <mergeCell ref="D8:J8"/>
    <mergeCell ref="C10:J10"/>
    <mergeCell ref="D11:J11"/>
  </mergeCells>
  <conditionalFormatting sqref="E22:E31 I22:I31 G22:G31">
    <cfRule type="cellIs" dxfId="11" priority="17" operator="equal">
      <formula>"N"</formula>
    </cfRule>
    <cfRule type="cellIs" dxfId="10" priority="18" operator="equal">
      <formula>"Y"</formula>
    </cfRule>
  </conditionalFormatting>
  <dataValidations count="1">
    <dataValidation type="list" allowBlank="1" showInputMessage="1" showErrorMessage="1" sqref="E22:E31 I22:I31 G22:G31" xr:uid="{00000000-0002-0000-1100-000000000000}">
      <formula1>$B$20:$B$21</formula1>
    </dataValidation>
  </dataValidations>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4">
    <tabColor theme="2" tint="-0.499984740745262"/>
  </sheetPr>
  <dimension ref="A1:J34"/>
  <sheetViews>
    <sheetView showGridLines="0" topLeftCell="A10" zoomScale="88" zoomScaleNormal="88" workbookViewId="0">
      <selection activeCell="D31" sqref="D3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78" t="s">
        <v>92</v>
      </c>
      <c r="D1" s="379"/>
      <c r="E1" s="379"/>
      <c r="F1" s="379"/>
      <c r="G1" s="379"/>
      <c r="H1" s="379"/>
      <c r="I1" s="379"/>
      <c r="J1" s="379"/>
    </row>
    <row r="2" spans="1:10" ht="51" customHeight="1" thickBot="1">
      <c r="C2" s="294" t="str">
        <f>'1. Criteria'!C30</f>
        <v>Capacity Factor</v>
      </c>
      <c r="D2" s="295"/>
      <c r="E2" s="295"/>
      <c r="F2" s="295"/>
      <c r="G2" s="295"/>
      <c r="H2" s="295"/>
      <c r="I2" s="295"/>
      <c r="J2" s="295"/>
    </row>
    <row r="3" spans="1:10" ht="13.5" thickBot="1">
      <c r="C3" s="3"/>
      <c r="D3" s="3"/>
      <c r="E3" s="3"/>
      <c r="F3" s="3"/>
      <c r="G3" s="3"/>
      <c r="H3" s="4"/>
    </row>
    <row r="4" spans="1:10" ht="70.5" customHeight="1">
      <c r="C4" s="123" t="s">
        <v>132</v>
      </c>
      <c r="D4" s="349" t="s">
        <v>285</v>
      </c>
      <c r="E4" s="350"/>
      <c r="F4" s="350"/>
      <c r="G4" s="350"/>
      <c r="H4" s="350"/>
      <c r="I4" s="350"/>
      <c r="J4" s="350"/>
    </row>
    <row r="5" spans="1:10" ht="13">
      <c r="A5" s="2" t="s">
        <v>3</v>
      </c>
      <c r="C5" s="124" t="s">
        <v>1</v>
      </c>
      <c r="D5" s="331" t="s">
        <v>103</v>
      </c>
      <c r="E5" s="332"/>
      <c r="F5" s="332"/>
      <c r="G5" s="332"/>
      <c r="H5" s="332"/>
      <c r="I5" s="332"/>
      <c r="J5" s="332"/>
    </row>
    <row r="6" spans="1:10" ht="13">
      <c r="C6" s="124" t="s">
        <v>4</v>
      </c>
      <c r="D6" s="331" t="s">
        <v>139</v>
      </c>
      <c r="E6" s="332"/>
      <c r="F6" s="332"/>
      <c r="G6" s="332"/>
      <c r="H6" s="332"/>
      <c r="I6" s="332"/>
      <c r="J6" s="332"/>
    </row>
    <row r="7" spans="1:10" ht="13">
      <c r="C7" s="124" t="s">
        <v>2</v>
      </c>
      <c r="D7" s="331" t="s">
        <v>107</v>
      </c>
      <c r="E7" s="332"/>
      <c r="F7" s="332"/>
      <c r="G7" s="332"/>
      <c r="H7" s="332"/>
      <c r="I7" s="332"/>
      <c r="J7" s="332"/>
    </row>
    <row r="8" spans="1:10" ht="15" customHeight="1" thickBot="1">
      <c r="B8" s="23" t="s">
        <v>110</v>
      </c>
      <c r="C8" s="125" t="s">
        <v>5</v>
      </c>
      <c r="D8" s="391" t="s">
        <v>88</v>
      </c>
      <c r="E8" s="392"/>
      <c r="F8" s="392"/>
      <c r="G8" s="392"/>
      <c r="H8" s="392"/>
      <c r="I8" s="392"/>
      <c r="J8" s="392"/>
    </row>
    <row r="9" spans="1:10" ht="13.5" thickBot="1">
      <c r="C9" s="1"/>
      <c r="D9" s="1"/>
      <c r="E9" s="1"/>
      <c r="F9" s="1"/>
      <c r="G9" s="1"/>
      <c r="H9" s="1"/>
    </row>
    <row r="10" spans="1:10" ht="19.899999999999999" customHeight="1" thickBot="1">
      <c r="C10" s="279" t="s">
        <v>6</v>
      </c>
      <c r="D10" s="303"/>
      <c r="E10" s="303"/>
      <c r="F10" s="303"/>
      <c r="G10" s="303"/>
      <c r="H10" s="303"/>
      <c r="I10" s="303"/>
      <c r="J10" s="303"/>
    </row>
    <row r="11" spans="1:10" ht="75.5" customHeight="1">
      <c r="C11" s="126" t="s">
        <v>10</v>
      </c>
      <c r="D11" s="333" t="s">
        <v>286</v>
      </c>
      <c r="E11" s="334"/>
      <c r="F11" s="334"/>
      <c r="G11" s="334"/>
      <c r="H11" s="334"/>
      <c r="I11" s="334"/>
      <c r="J11" s="334"/>
    </row>
    <row r="12" spans="1:10" ht="13" thickBot="1"/>
    <row r="13" spans="1:10" ht="19.899999999999999" customHeight="1" thickBot="1">
      <c r="C13" s="302" t="s">
        <v>8</v>
      </c>
      <c r="D13" s="303"/>
      <c r="E13" s="303"/>
      <c r="F13" s="303"/>
      <c r="G13" s="303"/>
      <c r="H13" s="303"/>
      <c r="I13" s="303"/>
      <c r="J13" s="303"/>
    </row>
    <row r="14" spans="1:10" ht="101.5" customHeight="1">
      <c r="C14" s="127" t="s">
        <v>9</v>
      </c>
      <c r="D14" s="333" t="s">
        <v>228</v>
      </c>
      <c r="E14" s="334"/>
      <c r="F14" s="334"/>
      <c r="G14" s="334"/>
      <c r="H14" s="334"/>
      <c r="I14" s="334"/>
      <c r="J14" s="334"/>
    </row>
    <row r="15" spans="1:10" ht="83.5" customHeight="1" thickBot="1">
      <c r="C15" s="125" t="s">
        <v>157</v>
      </c>
      <c r="D15" s="389" t="s">
        <v>287</v>
      </c>
      <c r="E15" s="390"/>
      <c r="F15" s="390"/>
      <c r="G15" s="390"/>
      <c r="H15" s="390"/>
      <c r="I15" s="390"/>
      <c r="J15" s="390"/>
    </row>
    <row r="16" spans="1:10">
      <c r="C16" s="2" t="s">
        <v>7</v>
      </c>
    </row>
    <row r="17" spans="2:10" ht="13" thickBot="1"/>
    <row r="18" spans="2:10" ht="19.899999999999999" customHeight="1" thickBot="1">
      <c r="C18" s="279" t="s">
        <v>20</v>
      </c>
      <c r="D18" s="280"/>
      <c r="E18" s="280"/>
      <c r="F18" s="280"/>
      <c r="G18" s="280"/>
      <c r="H18" s="280"/>
      <c r="I18" s="280"/>
      <c r="J18" s="280"/>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25.5" customHeight="1" thickBot="1">
      <c r="B21" s="2" t="s">
        <v>99</v>
      </c>
      <c r="C21" s="13" t="str">
        <f>D8</f>
        <v>%</v>
      </c>
      <c r="D21" s="39" t="s">
        <v>332</v>
      </c>
      <c r="E21" s="39"/>
      <c r="F21" s="39" t="s">
        <v>330</v>
      </c>
      <c r="G21" s="39"/>
      <c r="H21" s="39" t="s">
        <v>256</v>
      </c>
      <c r="I21" s="39"/>
      <c r="J21" s="12" t="s">
        <v>86</v>
      </c>
    </row>
    <row r="22" spans="2:10" ht="25.5" thickBot="1">
      <c r="C22" s="112" t="s">
        <v>352</v>
      </c>
      <c r="D22" s="37">
        <v>93.5</v>
      </c>
      <c r="E22" s="34" t="s">
        <v>98</v>
      </c>
      <c r="F22" s="3">
        <v>25</v>
      </c>
      <c r="G22" s="34" t="s">
        <v>98</v>
      </c>
      <c r="H22" s="3"/>
      <c r="I22" s="34" t="s">
        <v>98</v>
      </c>
      <c r="J22" s="7"/>
    </row>
    <row r="23" spans="2:10" ht="37.5">
      <c r="C23" s="112" t="s">
        <v>353</v>
      </c>
      <c r="D23" s="37"/>
      <c r="E23" s="34" t="s">
        <v>98</v>
      </c>
      <c r="F23" s="37"/>
      <c r="G23" s="34" t="s">
        <v>98</v>
      </c>
      <c r="H23" s="37">
        <v>91</v>
      </c>
      <c r="I23" s="34" t="s">
        <v>98</v>
      </c>
      <c r="J23" s="7"/>
    </row>
    <row r="24" spans="2:10">
      <c r="C24" s="113" t="s">
        <v>158</v>
      </c>
      <c r="D24" s="37"/>
      <c r="E24" s="34" t="s">
        <v>98</v>
      </c>
      <c r="F24" s="37"/>
      <c r="G24" s="34" t="s">
        <v>98</v>
      </c>
      <c r="H24" s="37"/>
      <c r="I24" s="34" t="s">
        <v>98</v>
      </c>
      <c r="J24" s="7"/>
    </row>
    <row r="25" spans="2:10" ht="13" thickBot="1">
      <c r="C25" s="113"/>
      <c r="D25" s="37"/>
      <c r="E25" s="34"/>
      <c r="F25" s="3"/>
      <c r="G25" s="34"/>
      <c r="H25" s="3"/>
      <c r="I25" s="34"/>
      <c r="J25" s="7"/>
    </row>
    <row r="26" spans="2:10" ht="13.15" customHeight="1">
      <c r="C26" s="19" t="s">
        <v>16</v>
      </c>
      <c r="D26" s="313">
        <f>MIN(D22:D25)</f>
        <v>93.5</v>
      </c>
      <c r="E26" s="307"/>
      <c r="F26" s="307">
        <f>MIN(F22:F25)</f>
        <v>25</v>
      </c>
      <c r="G26" s="307"/>
      <c r="H26" s="307">
        <f>MIN(H22:H25)</f>
        <v>91</v>
      </c>
      <c r="I26" s="307"/>
      <c r="J26" s="9"/>
    </row>
    <row r="27" spans="2:10" ht="13.5" thickBot="1">
      <c r="C27" s="20" t="s">
        <v>17</v>
      </c>
      <c r="D27" s="359">
        <f>MAX(D22:D25)</f>
        <v>93.5</v>
      </c>
      <c r="E27" s="352"/>
      <c r="F27" s="352">
        <f>MAX(F22:F22)</f>
        <v>25</v>
      </c>
      <c r="G27" s="352"/>
      <c r="H27" s="352">
        <f>MAX(H22:H25)</f>
        <v>91</v>
      </c>
      <c r="I27" s="352"/>
      <c r="J27" s="7"/>
    </row>
    <row r="28" spans="2:10" ht="13.5" thickBot="1">
      <c r="C28" s="21" t="s">
        <v>72</v>
      </c>
      <c r="D28" s="338">
        <f>MEDIAN(D22:D25)</f>
        <v>93.5</v>
      </c>
      <c r="E28" s="338"/>
      <c r="F28" s="338">
        <f>MEDIAN(F22:F25)</f>
        <v>25</v>
      </c>
      <c r="G28" s="338"/>
      <c r="H28" s="338">
        <f>MEDIAN(H22:H25)</f>
        <v>91</v>
      </c>
      <c r="I28" s="338"/>
      <c r="J28" s="175"/>
    </row>
    <row r="29" spans="2:10" ht="13.5" thickBot="1">
      <c r="C29" s="20" t="s">
        <v>19</v>
      </c>
      <c r="D29" s="338">
        <f>AVERAGEIF(E22:E25,"Y",D22:D25)</f>
        <v>93.5</v>
      </c>
      <c r="E29" s="338"/>
      <c r="F29" s="338">
        <f>AVERAGEIF(G22:G25,"Y",F22:F25)</f>
        <v>25</v>
      </c>
      <c r="G29" s="338"/>
      <c r="H29" s="338">
        <f>AVERAGEIF(I22:I25,"Y",H22:H25)</f>
        <v>91</v>
      </c>
      <c r="I29" s="338"/>
      <c r="J29" s="175"/>
    </row>
    <row r="30" spans="2:10" ht="13.5" thickBot="1">
      <c r="C30" s="21" t="s">
        <v>18</v>
      </c>
      <c r="D30" s="336">
        <f>D29</f>
        <v>93.5</v>
      </c>
      <c r="E30" s="336"/>
      <c r="F30" s="336">
        <f t="shared" ref="F30" si="0">F29</f>
        <v>25</v>
      </c>
      <c r="G30" s="336"/>
      <c r="H30" s="336">
        <f t="shared" ref="H30" si="1">H29</f>
        <v>91</v>
      </c>
      <c r="I30" s="336"/>
      <c r="J30" s="176"/>
    </row>
    <row r="31" spans="2:10" ht="13">
      <c r="C31" s="1"/>
      <c r="D31" s="3"/>
      <c r="E31" s="3"/>
      <c r="F31" s="3"/>
      <c r="G31" s="3"/>
      <c r="H31" s="3"/>
      <c r="I31" s="3"/>
      <c r="J31" s="3"/>
    </row>
    <row r="32" spans="2:10">
      <c r="C32" s="135"/>
    </row>
    <row r="33" spans="3:3">
      <c r="C33" s="135"/>
    </row>
    <row r="34" spans="3:3">
      <c r="C34" s="135"/>
    </row>
  </sheetData>
  <mergeCells count="29">
    <mergeCell ref="D27:E27"/>
    <mergeCell ref="C2:J2"/>
    <mergeCell ref="D4:J4"/>
    <mergeCell ref="D5:J5"/>
    <mergeCell ref="D6:J6"/>
    <mergeCell ref="D15:J15"/>
    <mergeCell ref="F26:G26"/>
    <mergeCell ref="H26:I26"/>
    <mergeCell ref="D7:J7"/>
    <mergeCell ref="D8:J8"/>
    <mergeCell ref="C10:J10"/>
    <mergeCell ref="D11:J11"/>
    <mergeCell ref="C13:J13"/>
    <mergeCell ref="C1:J1"/>
    <mergeCell ref="D30:E30"/>
    <mergeCell ref="F30:G30"/>
    <mergeCell ref="H30:I30"/>
    <mergeCell ref="D29:E29"/>
    <mergeCell ref="F29:G29"/>
    <mergeCell ref="H29:I29"/>
    <mergeCell ref="F27:G27"/>
    <mergeCell ref="H27:I27"/>
    <mergeCell ref="D14:J14"/>
    <mergeCell ref="C18:J18"/>
    <mergeCell ref="C20:J20"/>
    <mergeCell ref="D26:E26"/>
    <mergeCell ref="D28:E28"/>
    <mergeCell ref="F28:G28"/>
    <mergeCell ref="H28:I28"/>
  </mergeCells>
  <conditionalFormatting sqref="E22:E25 G22:G25 I22:I25">
    <cfRule type="cellIs" dxfId="9" priority="5" operator="equal">
      <formula>"N"</formula>
    </cfRule>
    <cfRule type="cellIs" dxfId="8" priority="6" operator="equal">
      <formula>"Y"</formula>
    </cfRule>
  </conditionalFormatting>
  <dataValidations count="1">
    <dataValidation type="list" allowBlank="1" showInputMessage="1" showErrorMessage="1" sqref="E22:E25 G22:G25 I22:I25" xr:uid="{00000000-0002-0000-1200-000000000000}">
      <formula1>$B$20:$B$21</formula1>
    </dataValidation>
  </dataValidations>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8">
    <tabColor theme="2" tint="-0.499984740745262"/>
  </sheetPr>
  <dimension ref="A1:J26"/>
  <sheetViews>
    <sheetView showGridLines="0" zoomScale="88" zoomScaleNormal="88" workbookViewId="0">
      <selection activeCell="D25" sqref="D25:E25"/>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78" t="s">
        <v>143</v>
      </c>
      <c r="D1" s="379"/>
      <c r="E1" s="379"/>
      <c r="F1" s="379"/>
      <c r="G1" s="379"/>
      <c r="H1" s="379"/>
      <c r="I1" s="379"/>
      <c r="J1" s="379"/>
    </row>
    <row r="2" spans="1:10" ht="24" customHeight="1" thickBot="1">
      <c r="C2" s="294" t="str">
        <f>'1. Criteria'!C31</f>
        <v>Flexibility</v>
      </c>
      <c r="D2" s="295"/>
      <c r="E2" s="295"/>
      <c r="F2" s="295"/>
      <c r="G2" s="295"/>
      <c r="H2" s="295"/>
      <c r="I2" s="295"/>
      <c r="J2" s="295"/>
    </row>
    <row r="3" spans="1:10" ht="13.5" thickBot="1">
      <c r="C3" s="3"/>
      <c r="D3" s="3"/>
      <c r="E3" s="3"/>
      <c r="F3" s="3"/>
      <c r="G3" s="3"/>
      <c r="H3" s="4"/>
    </row>
    <row r="4" spans="1:10" ht="35.15" customHeight="1">
      <c r="C4" s="123" t="s">
        <v>132</v>
      </c>
      <c r="D4" s="349" t="s">
        <v>229</v>
      </c>
      <c r="E4" s="350"/>
      <c r="F4" s="350"/>
      <c r="G4" s="350"/>
      <c r="H4" s="350"/>
      <c r="I4" s="350"/>
      <c r="J4" s="369"/>
    </row>
    <row r="5" spans="1:10" ht="13">
      <c r="A5" s="2" t="s">
        <v>3</v>
      </c>
      <c r="C5" s="124" t="s">
        <v>1</v>
      </c>
      <c r="D5" s="331" t="s">
        <v>103</v>
      </c>
      <c r="E5" s="332"/>
      <c r="F5" s="332"/>
      <c r="G5" s="332"/>
      <c r="H5" s="332"/>
      <c r="I5" s="332"/>
      <c r="J5" s="370"/>
    </row>
    <row r="6" spans="1:10" ht="13">
      <c r="C6" s="124" t="s">
        <v>4</v>
      </c>
      <c r="D6" s="331" t="s">
        <v>139</v>
      </c>
      <c r="E6" s="332"/>
      <c r="F6" s="332"/>
      <c r="G6" s="332"/>
      <c r="H6" s="332"/>
      <c r="I6" s="332"/>
      <c r="J6" s="370"/>
    </row>
    <row r="7" spans="1:10" ht="13">
      <c r="C7" s="124" t="s">
        <v>2</v>
      </c>
      <c r="D7" s="331" t="s">
        <v>134</v>
      </c>
      <c r="E7" s="332"/>
      <c r="F7" s="332"/>
      <c r="G7" s="332"/>
      <c r="H7" s="332"/>
      <c r="I7" s="332"/>
      <c r="J7" s="370"/>
    </row>
    <row r="8" spans="1:10" ht="15" customHeight="1" thickBot="1">
      <c r="B8" s="23" t="s">
        <v>110</v>
      </c>
      <c r="C8" s="125" t="s">
        <v>5</v>
      </c>
      <c r="D8" s="327" t="s">
        <v>288</v>
      </c>
      <c r="E8" s="328"/>
      <c r="F8" s="328"/>
      <c r="G8" s="328"/>
      <c r="H8" s="328"/>
      <c r="I8" s="328"/>
      <c r="J8" s="368"/>
    </row>
    <row r="9" spans="1:10" ht="13.5" thickBot="1">
      <c r="C9" s="1"/>
      <c r="D9" s="1"/>
      <c r="E9" s="1"/>
      <c r="F9" s="1"/>
      <c r="G9" s="1"/>
      <c r="H9" s="1"/>
    </row>
    <row r="10" spans="1:10" ht="19.899999999999999" customHeight="1" thickBot="1">
      <c r="C10" s="279" t="s">
        <v>6</v>
      </c>
      <c r="D10" s="303"/>
      <c r="E10" s="303"/>
      <c r="F10" s="303"/>
      <c r="G10" s="303"/>
      <c r="H10" s="303"/>
      <c r="I10" s="303"/>
      <c r="J10" s="375"/>
    </row>
    <row r="11" spans="1:10" ht="55" customHeight="1" thickBot="1">
      <c r="C11" s="132" t="s">
        <v>10</v>
      </c>
      <c r="D11" s="383" t="s">
        <v>231</v>
      </c>
      <c r="E11" s="384"/>
      <c r="F11" s="384"/>
      <c r="G11" s="384"/>
      <c r="H11" s="384"/>
      <c r="I11" s="384"/>
      <c r="J11" s="385"/>
    </row>
    <row r="12" spans="1:10" ht="13" thickBot="1"/>
    <row r="13" spans="1:10" ht="19.899999999999999" customHeight="1" thickBot="1">
      <c r="C13" s="302" t="s">
        <v>8</v>
      </c>
      <c r="D13" s="303"/>
      <c r="E13" s="303"/>
      <c r="F13" s="303"/>
      <c r="G13" s="303"/>
      <c r="H13" s="303"/>
      <c r="I13" s="303"/>
      <c r="J13" s="375"/>
    </row>
    <row r="14" spans="1:10" ht="54.65" customHeight="1" thickBot="1">
      <c r="C14" s="127" t="s">
        <v>9</v>
      </c>
      <c r="D14" s="333" t="s">
        <v>242</v>
      </c>
      <c r="E14" s="334"/>
      <c r="F14" s="334"/>
      <c r="G14" s="334"/>
      <c r="H14" s="334"/>
      <c r="I14" s="334"/>
      <c r="J14" s="377"/>
    </row>
    <row r="15" spans="1:10" ht="35.5" customHeight="1" thickBot="1">
      <c r="C15" s="125" t="s">
        <v>157</v>
      </c>
      <c r="D15" s="383" t="s">
        <v>243</v>
      </c>
      <c r="E15" s="384"/>
      <c r="F15" s="384"/>
      <c r="G15" s="384"/>
      <c r="H15" s="384"/>
      <c r="I15" s="384"/>
      <c r="J15" s="385"/>
    </row>
    <row r="16" spans="1:10">
      <c r="C16" s="2" t="s">
        <v>7</v>
      </c>
    </row>
    <row r="17" spans="2:10" ht="13" thickBot="1"/>
    <row r="18" spans="2:10" ht="16" thickBot="1">
      <c r="B18" s="2" t="s">
        <v>98</v>
      </c>
      <c r="C18" s="282" t="s">
        <v>21</v>
      </c>
      <c r="D18" s="283"/>
      <c r="E18" s="283"/>
      <c r="F18" s="283"/>
      <c r="G18" s="283"/>
      <c r="H18" s="283"/>
      <c r="I18" s="283"/>
      <c r="J18" s="342"/>
    </row>
    <row r="19" spans="2:10" ht="25.5" customHeight="1" thickBot="1">
      <c r="B19" s="2" t="s">
        <v>99</v>
      </c>
      <c r="C19" s="13" t="s">
        <v>136</v>
      </c>
      <c r="D19" s="39" t="s">
        <v>332</v>
      </c>
      <c r="E19" s="39"/>
      <c r="F19" s="39" t="s">
        <v>330</v>
      </c>
      <c r="G19" s="39"/>
      <c r="H19" s="39" t="s">
        <v>256</v>
      </c>
      <c r="I19" s="39"/>
      <c r="J19" s="12" t="s">
        <v>86</v>
      </c>
    </row>
    <row r="20" spans="2:10" ht="38" thickBot="1">
      <c r="C20" s="112" t="s">
        <v>307</v>
      </c>
      <c r="D20" s="37">
        <v>3</v>
      </c>
      <c r="E20" s="34" t="s">
        <v>98</v>
      </c>
      <c r="F20" s="3">
        <v>2</v>
      </c>
      <c r="G20" s="34" t="s">
        <v>98</v>
      </c>
      <c r="H20" s="3">
        <v>1</v>
      </c>
      <c r="I20" s="34" t="s">
        <v>98</v>
      </c>
      <c r="J20" s="7" t="s">
        <v>347</v>
      </c>
    </row>
    <row r="21" spans="2:10" ht="13.15" customHeight="1">
      <c r="C21" s="19" t="s">
        <v>16</v>
      </c>
      <c r="D21" s="307">
        <f>MIN(D20:D20)</f>
        <v>3</v>
      </c>
      <c r="E21" s="307"/>
      <c r="F21" s="307">
        <f>MIN(F20:F20)</f>
        <v>2</v>
      </c>
      <c r="G21" s="307"/>
      <c r="H21" s="307">
        <f>MIN(H20:H20)</f>
        <v>1</v>
      </c>
      <c r="I21" s="307"/>
      <c r="J21" s="9"/>
    </row>
    <row r="22" spans="2:10" ht="13.5" thickBot="1">
      <c r="C22" s="20" t="s">
        <v>17</v>
      </c>
      <c r="D22" s="352">
        <f>MAX(D20:D20)</f>
        <v>3</v>
      </c>
      <c r="E22" s="352"/>
      <c r="F22" s="352">
        <f>MAX(F20:F20)</f>
        <v>2</v>
      </c>
      <c r="G22" s="352"/>
      <c r="H22" s="352">
        <f>MAX(H20:H20)</f>
        <v>1</v>
      </c>
      <c r="I22" s="352"/>
      <c r="J22" s="7"/>
    </row>
    <row r="23" spans="2:10" ht="13.5" thickBot="1">
      <c r="C23" s="21" t="s">
        <v>72</v>
      </c>
      <c r="D23" s="338">
        <f>MEDIAN(D20:D20)</f>
        <v>3</v>
      </c>
      <c r="E23" s="338"/>
      <c r="F23" s="338">
        <f>MEDIAN(F20:F20)</f>
        <v>2</v>
      </c>
      <c r="G23" s="338"/>
      <c r="H23" s="338">
        <f>MEDIAN(H20:H20)</f>
        <v>1</v>
      </c>
      <c r="I23" s="338"/>
      <c r="J23" s="175"/>
    </row>
    <row r="24" spans="2:10" ht="13.5" thickBot="1">
      <c r="C24" s="20" t="s">
        <v>19</v>
      </c>
      <c r="D24" s="338">
        <f>AVERAGEIF(E20:E20,"Y",D20:D20)</f>
        <v>3</v>
      </c>
      <c r="E24" s="338"/>
      <c r="F24" s="338">
        <f>AVERAGEIF(G20:G20,"Y",F20:F20)</f>
        <v>2</v>
      </c>
      <c r="G24" s="338"/>
      <c r="H24" s="338">
        <f>AVERAGEIF(I20:I20,"Y",H20:H20)</f>
        <v>1</v>
      </c>
      <c r="I24" s="338"/>
      <c r="J24" s="175"/>
    </row>
    <row r="25" spans="2:10" ht="13.5" thickBot="1">
      <c r="C25" s="21" t="s">
        <v>18</v>
      </c>
      <c r="D25" s="336">
        <f>D24</f>
        <v>3</v>
      </c>
      <c r="E25" s="336"/>
      <c r="F25" s="336">
        <f t="shared" ref="F25" si="0">F24</f>
        <v>2</v>
      </c>
      <c r="G25" s="336"/>
      <c r="H25" s="336">
        <f t="shared" ref="H25" si="1">H24</f>
        <v>1</v>
      </c>
      <c r="I25" s="336"/>
      <c r="J25" s="176"/>
    </row>
    <row r="26" spans="2:10" ht="13">
      <c r="C26" s="1"/>
      <c r="D26" s="3"/>
      <c r="E26" s="3"/>
      <c r="F26" s="3"/>
      <c r="G26" s="3"/>
      <c r="H26" s="3"/>
      <c r="I26" s="3"/>
      <c r="J26" s="3"/>
    </row>
  </sheetData>
  <mergeCells count="28">
    <mergeCell ref="D22:E22"/>
    <mergeCell ref="F22:G22"/>
    <mergeCell ref="H22:I22"/>
    <mergeCell ref="D25:E25"/>
    <mergeCell ref="F25:G25"/>
    <mergeCell ref="H25:I25"/>
    <mergeCell ref="D23:E23"/>
    <mergeCell ref="F23:G23"/>
    <mergeCell ref="H23:I23"/>
    <mergeCell ref="D24:E24"/>
    <mergeCell ref="F24:G24"/>
    <mergeCell ref="H24:I24"/>
    <mergeCell ref="C1:J1"/>
    <mergeCell ref="C18:J18"/>
    <mergeCell ref="D21:E21"/>
    <mergeCell ref="F21:G21"/>
    <mergeCell ref="H21:I21"/>
    <mergeCell ref="D15:J15"/>
    <mergeCell ref="C2:J2"/>
    <mergeCell ref="D4:J4"/>
    <mergeCell ref="D5:J5"/>
    <mergeCell ref="D6:J6"/>
    <mergeCell ref="D7:J7"/>
    <mergeCell ref="D8:J8"/>
    <mergeCell ref="C10:J10"/>
    <mergeCell ref="D11:J11"/>
    <mergeCell ref="C13:J13"/>
    <mergeCell ref="D14:J14"/>
  </mergeCells>
  <conditionalFormatting sqref="I20 G20 E20">
    <cfRule type="cellIs" dxfId="7" priority="5" operator="equal">
      <formula>"N"</formula>
    </cfRule>
    <cfRule type="cellIs" dxfId="6" priority="6" operator="equal">
      <formula>"Y"</formula>
    </cfRule>
  </conditionalFormatting>
  <dataValidations count="1">
    <dataValidation type="list" allowBlank="1" showInputMessage="1" showErrorMessage="1" sqref="G20 I20 E20" xr:uid="{00000000-0002-0000-1300-000000000000}">
      <formula1>$B$20:$B$21</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3">
    <tabColor theme="5" tint="-0.249977111117893"/>
  </sheetPr>
  <dimension ref="A1:J29"/>
  <sheetViews>
    <sheetView showGridLines="0" zoomScale="88" zoomScaleNormal="88" workbookViewId="0">
      <selection activeCell="D29" sqref="D29"/>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5.7265625" style="2" customWidth="1"/>
    <col min="6" max="6" width="11.54296875" style="2"/>
    <col min="7" max="7" width="4.54296875" style="2" customWidth="1"/>
    <col min="8" max="8" width="11.54296875" style="2"/>
    <col min="9" max="9" width="5" style="2" customWidth="1"/>
    <col min="10" max="16384" width="11.54296875" style="2"/>
  </cols>
  <sheetData>
    <row r="1" spans="1:10" ht="19.5" thickBot="1">
      <c r="C1" s="393" t="s">
        <v>175</v>
      </c>
      <c r="D1" s="394"/>
      <c r="E1" s="394"/>
      <c r="F1" s="394"/>
      <c r="G1" s="394"/>
      <c r="H1" s="394"/>
      <c r="I1" s="394"/>
      <c r="J1" s="394"/>
    </row>
    <row r="2" spans="1:10" ht="24" customHeight="1" thickBot="1">
      <c r="C2" s="294" t="str">
        <f>'1. Criteria'!C32</f>
        <v>Political support</v>
      </c>
      <c r="D2" s="295"/>
      <c r="E2" s="295"/>
      <c r="F2" s="295"/>
      <c r="G2" s="295"/>
      <c r="H2" s="295"/>
      <c r="I2" s="295"/>
      <c r="J2" s="295"/>
    </row>
    <row r="3" spans="1:10" ht="13.5" thickBot="1">
      <c r="C3" s="3"/>
      <c r="D3" s="3"/>
      <c r="E3" s="3"/>
      <c r="F3" s="3"/>
      <c r="G3" s="3"/>
      <c r="H3" s="4"/>
    </row>
    <row r="4" spans="1:10" ht="25.5" customHeight="1">
      <c r="C4" s="123" t="s">
        <v>132</v>
      </c>
      <c r="D4" s="349" t="s">
        <v>290</v>
      </c>
      <c r="E4" s="350"/>
      <c r="F4" s="350"/>
      <c r="G4" s="350"/>
      <c r="H4" s="350"/>
      <c r="I4" s="350"/>
      <c r="J4" s="369"/>
    </row>
    <row r="5" spans="1:10" ht="13">
      <c r="A5" s="2" t="s">
        <v>3</v>
      </c>
      <c r="C5" s="124" t="s">
        <v>1</v>
      </c>
      <c r="D5" s="331" t="s">
        <v>230</v>
      </c>
      <c r="E5" s="332"/>
      <c r="F5" s="332"/>
      <c r="G5" s="332"/>
      <c r="H5" s="332"/>
      <c r="I5" s="332"/>
      <c r="J5" s="370"/>
    </row>
    <row r="6" spans="1:10" ht="13">
      <c r="C6" s="124" t="s">
        <v>4</v>
      </c>
      <c r="D6" s="331" t="s">
        <v>139</v>
      </c>
      <c r="E6" s="332"/>
      <c r="F6" s="332"/>
      <c r="G6" s="332"/>
      <c r="H6" s="332"/>
      <c r="I6" s="332"/>
      <c r="J6" s="370"/>
    </row>
    <row r="7" spans="1:10" ht="13">
      <c r="C7" s="124" t="s">
        <v>2</v>
      </c>
      <c r="D7" s="331" t="s">
        <v>134</v>
      </c>
      <c r="E7" s="332"/>
      <c r="F7" s="332"/>
      <c r="G7" s="332"/>
      <c r="H7" s="332"/>
      <c r="I7" s="332"/>
      <c r="J7" s="370"/>
    </row>
    <row r="8" spans="1:10" ht="15" customHeight="1" thickBot="1">
      <c r="B8" s="23" t="s">
        <v>110</v>
      </c>
      <c r="C8" s="125" t="s">
        <v>5</v>
      </c>
      <c r="D8" s="391" t="s">
        <v>302</v>
      </c>
      <c r="E8" s="392"/>
      <c r="F8" s="392"/>
      <c r="G8" s="392"/>
      <c r="H8" s="392"/>
      <c r="I8" s="392"/>
      <c r="J8" s="395"/>
    </row>
    <row r="9" spans="1:10" ht="13.5" thickBot="1">
      <c r="C9" s="1"/>
      <c r="D9" s="1"/>
      <c r="E9" s="1"/>
      <c r="F9" s="1"/>
      <c r="G9" s="1"/>
      <c r="H9" s="1"/>
    </row>
    <row r="10" spans="1:10" ht="19.899999999999999" customHeight="1" thickBot="1">
      <c r="C10" s="279" t="s">
        <v>6</v>
      </c>
      <c r="D10" s="341"/>
      <c r="E10" s="341"/>
      <c r="F10" s="341"/>
      <c r="G10" s="341"/>
      <c r="H10" s="341"/>
      <c r="I10" s="341"/>
      <c r="J10" s="396"/>
    </row>
    <row r="11" spans="1:10" ht="41.5" customHeight="1" thickBot="1">
      <c r="C11" s="132" t="s">
        <v>10</v>
      </c>
      <c r="D11" s="383" t="s">
        <v>291</v>
      </c>
      <c r="E11" s="384"/>
      <c r="F11" s="384"/>
      <c r="G11" s="384"/>
      <c r="H11" s="384"/>
      <c r="I11" s="384"/>
      <c r="J11" s="385"/>
    </row>
    <row r="12" spans="1:10" ht="13" thickBot="1"/>
    <row r="13" spans="1:10" ht="19.899999999999999" customHeight="1" thickBot="1">
      <c r="C13" s="302" t="s">
        <v>8</v>
      </c>
      <c r="D13" s="303"/>
      <c r="E13" s="303"/>
      <c r="F13" s="303"/>
      <c r="G13" s="303"/>
      <c r="H13" s="303"/>
      <c r="I13" s="303"/>
      <c r="J13" s="375"/>
    </row>
    <row r="14" spans="1:10" ht="61" customHeight="1">
      <c r="C14" s="127" t="s">
        <v>9</v>
      </c>
      <c r="D14" s="333" t="s">
        <v>292</v>
      </c>
      <c r="E14" s="334"/>
      <c r="F14" s="334"/>
      <c r="G14" s="334"/>
      <c r="H14" s="334"/>
      <c r="I14" s="334"/>
      <c r="J14" s="377"/>
    </row>
    <row r="15" spans="1:10" ht="38.15" customHeight="1" thickBot="1">
      <c r="C15" s="125" t="s">
        <v>157</v>
      </c>
      <c r="D15" s="364" t="s">
        <v>293</v>
      </c>
      <c r="E15" s="365"/>
      <c r="F15" s="365"/>
      <c r="G15" s="365"/>
      <c r="H15" s="365"/>
      <c r="I15" s="365"/>
      <c r="J15" s="374"/>
    </row>
    <row r="16" spans="1:10">
      <c r="C16" s="2" t="s">
        <v>7</v>
      </c>
    </row>
    <row r="17" spans="2:10" ht="13" thickBot="1"/>
    <row r="18" spans="2:10" ht="19.899999999999999" customHeight="1" thickBot="1">
      <c r="C18" s="279" t="s">
        <v>20</v>
      </c>
      <c r="D18" s="280"/>
      <c r="E18" s="280"/>
      <c r="F18" s="280"/>
      <c r="G18" s="280"/>
      <c r="H18" s="280"/>
      <c r="I18" s="280"/>
      <c r="J18" s="363"/>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14.5" customHeight="1" thickBot="1">
      <c r="B21" s="2" t="s">
        <v>99</v>
      </c>
      <c r="C21" s="13" t="s">
        <v>294</v>
      </c>
      <c r="D21" s="39" t="s">
        <v>332</v>
      </c>
      <c r="E21" s="39"/>
      <c r="F21" s="39" t="s">
        <v>330</v>
      </c>
      <c r="G21" s="39"/>
      <c r="H21" s="39" t="s">
        <v>256</v>
      </c>
      <c r="I21" s="39"/>
      <c r="J21" s="12" t="s">
        <v>86</v>
      </c>
    </row>
    <row r="22" spans="2:10" ht="51" customHeight="1" thickBot="1">
      <c r="C22" s="112" t="s">
        <v>307</v>
      </c>
      <c r="D22" s="37">
        <v>3</v>
      </c>
      <c r="E22" s="34" t="s">
        <v>98</v>
      </c>
      <c r="F22" s="3">
        <v>3</v>
      </c>
      <c r="G22" s="34" t="s">
        <v>98</v>
      </c>
      <c r="H22" s="3">
        <v>1</v>
      </c>
      <c r="I22" s="34" t="s">
        <v>98</v>
      </c>
      <c r="J22" s="7" t="s">
        <v>354</v>
      </c>
    </row>
    <row r="23" spans="2:10" ht="25.5" thickBot="1">
      <c r="C23" s="112" t="s">
        <v>307</v>
      </c>
      <c r="D23" s="37"/>
      <c r="E23" s="34"/>
      <c r="F23" s="3"/>
      <c r="G23" s="34"/>
      <c r="H23" s="3"/>
      <c r="I23" s="34" t="s">
        <v>98</v>
      </c>
      <c r="J23" s="7"/>
    </row>
    <row r="24" spans="2:10" ht="13.15" customHeight="1">
      <c r="C24" s="19" t="s">
        <v>16</v>
      </c>
      <c r="D24" s="313">
        <f>MIN(D22:D23)</f>
        <v>3</v>
      </c>
      <c r="E24" s="307"/>
      <c r="F24" s="313">
        <f>MIN(F22:F23)</f>
        <v>3</v>
      </c>
      <c r="G24" s="307"/>
      <c r="H24" s="313">
        <f>MIN(H22:H23)</f>
        <v>1</v>
      </c>
      <c r="I24" s="307"/>
      <c r="J24" s="173"/>
    </row>
    <row r="25" spans="2:10" ht="13.5" thickBot="1">
      <c r="C25" s="20" t="s">
        <v>17</v>
      </c>
      <c r="D25" s="359">
        <f>MAX(D22:D23)</f>
        <v>3</v>
      </c>
      <c r="E25" s="352"/>
      <c r="F25" s="359">
        <f>MAX(F22:F23)</f>
        <v>3</v>
      </c>
      <c r="G25" s="352"/>
      <c r="H25" s="359">
        <f>MAX(H22:H23)</f>
        <v>1</v>
      </c>
      <c r="I25" s="352"/>
      <c r="J25" s="172"/>
    </row>
    <row r="26" spans="2:10" ht="13.5" thickBot="1">
      <c r="C26" s="21" t="s">
        <v>72</v>
      </c>
      <c r="D26" s="338">
        <f>MEDIAN(D22:D23)</f>
        <v>3</v>
      </c>
      <c r="E26" s="338"/>
      <c r="F26" s="338">
        <f>MEDIAN(F22:F23)</f>
        <v>3</v>
      </c>
      <c r="G26" s="338"/>
      <c r="H26" s="338">
        <f>MEDIAN(H22:H23)</f>
        <v>1</v>
      </c>
      <c r="I26" s="338"/>
      <c r="J26" s="175"/>
    </row>
    <row r="27" spans="2:10" ht="13.5" thickBot="1">
      <c r="C27" s="20" t="s">
        <v>19</v>
      </c>
      <c r="D27" s="338">
        <f>AVERAGEIF(E22:E23,"Y",D22:D23)</f>
        <v>3</v>
      </c>
      <c r="E27" s="338"/>
      <c r="F27" s="338">
        <f>AVERAGEIF(G22:G23,"Y",F22:F23)</f>
        <v>3</v>
      </c>
      <c r="G27" s="338"/>
      <c r="H27" s="338">
        <f>AVERAGEIF(I22:I23,"Y",H22:H23)</f>
        <v>1</v>
      </c>
      <c r="I27" s="338"/>
      <c r="J27" s="175"/>
    </row>
    <row r="28" spans="2:10" ht="13.5" thickBot="1">
      <c r="C28" s="21" t="s">
        <v>18</v>
      </c>
      <c r="D28" s="336">
        <f>D27</f>
        <v>3</v>
      </c>
      <c r="E28" s="336"/>
      <c r="F28" s="336">
        <f t="shared" ref="F28" si="0">F27</f>
        <v>3</v>
      </c>
      <c r="G28" s="336"/>
      <c r="H28" s="336">
        <f t="shared" ref="H28" si="1">H27</f>
        <v>1</v>
      </c>
      <c r="I28" s="336"/>
      <c r="J28" s="176"/>
    </row>
    <row r="29" spans="2:10" ht="13">
      <c r="C29" s="1"/>
      <c r="D29" s="3"/>
      <c r="E29" s="3"/>
      <c r="F29" s="3"/>
      <c r="G29" s="3"/>
      <c r="H29" s="3"/>
      <c r="I29" s="3"/>
      <c r="J29" s="3"/>
    </row>
  </sheetData>
  <mergeCells count="29">
    <mergeCell ref="D25:E25"/>
    <mergeCell ref="C2:J2"/>
    <mergeCell ref="D4:J4"/>
    <mergeCell ref="D5:J5"/>
    <mergeCell ref="D6:J6"/>
    <mergeCell ref="D15:J15"/>
    <mergeCell ref="F24:G24"/>
    <mergeCell ref="H24:I24"/>
    <mergeCell ref="D7:J7"/>
    <mergeCell ref="D8:J8"/>
    <mergeCell ref="C10:J10"/>
    <mergeCell ref="D11:J11"/>
    <mergeCell ref="C13:J13"/>
    <mergeCell ref="C1:J1"/>
    <mergeCell ref="D28:E28"/>
    <mergeCell ref="F28:G28"/>
    <mergeCell ref="H28:I28"/>
    <mergeCell ref="D27:E27"/>
    <mergeCell ref="F27:G27"/>
    <mergeCell ref="H27:I27"/>
    <mergeCell ref="F25:G25"/>
    <mergeCell ref="H25:I25"/>
    <mergeCell ref="D14:J14"/>
    <mergeCell ref="C18:J18"/>
    <mergeCell ref="C20:J20"/>
    <mergeCell ref="D24:E24"/>
    <mergeCell ref="D26:E26"/>
    <mergeCell ref="F26:G26"/>
    <mergeCell ref="H26:I26"/>
  </mergeCells>
  <conditionalFormatting sqref="E22:E23 G22:G23 I22:I23">
    <cfRule type="cellIs" dxfId="5" priority="7" operator="equal">
      <formula>"N"</formula>
    </cfRule>
    <cfRule type="cellIs" dxfId="4" priority="8" operator="equal">
      <formula>"Y"</formula>
    </cfRule>
  </conditionalFormatting>
  <dataValidations count="1">
    <dataValidation type="list" allowBlank="1" showInputMessage="1" showErrorMessage="1" sqref="G22:G23 E22:E23 I22:I23" xr:uid="{00000000-0002-0000-1400-000000000000}">
      <formula1>$B$20:$B$21</formula1>
    </dataValidation>
  </dataValidations>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17">
    <tabColor theme="5" tint="-0.249977111117893"/>
  </sheetPr>
  <dimension ref="A1:J30"/>
  <sheetViews>
    <sheetView showGridLines="0" zoomScale="88" zoomScaleNormal="88" workbookViewId="0">
      <selection activeCell="D31" sqref="D31"/>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2.54296875" style="2" customWidth="1"/>
    <col min="6" max="6" width="11.54296875" style="2"/>
    <col min="7" max="7" width="2.54296875" style="2" customWidth="1"/>
    <col min="8" max="8" width="11.54296875" style="2"/>
    <col min="9" max="9" width="2.54296875" style="2" customWidth="1"/>
    <col min="10" max="16384" width="11.54296875" style="2"/>
  </cols>
  <sheetData>
    <row r="1" spans="1:10" ht="19.5" thickBot="1">
      <c r="C1" s="393" t="s">
        <v>176</v>
      </c>
      <c r="D1" s="394"/>
      <c r="E1" s="394"/>
      <c r="F1" s="394"/>
      <c r="G1" s="394"/>
      <c r="H1" s="394"/>
      <c r="I1" s="394"/>
      <c r="J1" s="394"/>
    </row>
    <row r="2" spans="1:10" ht="24" customHeight="1" thickBot="1">
      <c r="C2" s="294" t="str">
        <f>'1. Criteria'!C33</f>
        <v>External supply risks</v>
      </c>
      <c r="D2" s="295"/>
      <c r="E2" s="295"/>
      <c r="F2" s="295"/>
      <c r="G2" s="295"/>
      <c r="H2" s="295"/>
      <c r="I2" s="295"/>
      <c r="J2" s="295"/>
    </row>
    <row r="3" spans="1:10" ht="13.5" thickBot="1">
      <c r="C3" s="3"/>
      <c r="D3" s="3"/>
      <c r="E3" s="3"/>
      <c r="F3" s="3"/>
      <c r="G3" s="3"/>
      <c r="H3" s="4"/>
    </row>
    <row r="4" spans="1:10" ht="28" customHeight="1">
      <c r="C4" s="136" t="s">
        <v>132</v>
      </c>
      <c r="D4" s="349" t="s">
        <v>295</v>
      </c>
      <c r="E4" s="350"/>
      <c r="F4" s="350"/>
      <c r="G4" s="350"/>
      <c r="H4" s="350"/>
      <c r="I4" s="350"/>
      <c r="J4" s="369"/>
    </row>
    <row r="5" spans="1:10" ht="13">
      <c r="A5" s="2" t="s">
        <v>3</v>
      </c>
      <c r="C5" s="137" t="s">
        <v>1</v>
      </c>
      <c r="D5" s="331" t="s">
        <v>174</v>
      </c>
      <c r="E5" s="332"/>
      <c r="F5" s="332"/>
      <c r="G5" s="332"/>
      <c r="H5" s="332"/>
      <c r="I5" s="332"/>
      <c r="J5" s="370"/>
    </row>
    <row r="6" spans="1:10" ht="13">
      <c r="C6" s="137" t="s">
        <v>4</v>
      </c>
      <c r="D6" s="331" t="s">
        <v>133</v>
      </c>
      <c r="E6" s="332"/>
      <c r="F6" s="332"/>
      <c r="G6" s="332"/>
      <c r="H6" s="332"/>
      <c r="I6" s="332"/>
      <c r="J6" s="370"/>
    </row>
    <row r="7" spans="1:10" ht="13">
      <c r="C7" s="137" t="s">
        <v>2</v>
      </c>
      <c r="D7" s="331" t="s">
        <v>134</v>
      </c>
      <c r="E7" s="332"/>
      <c r="F7" s="332"/>
      <c r="G7" s="332"/>
      <c r="H7" s="332"/>
      <c r="I7" s="332"/>
      <c r="J7" s="370"/>
    </row>
    <row r="8" spans="1:10" ht="50.5" customHeight="1" thickBot="1">
      <c r="B8" s="23"/>
      <c r="C8" s="138" t="s">
        <v>5</v>
      </c>
      <c r="D8" s="400" t="s">
        <v>136</v>
      </c>
      <c r="E8" s="401"/>
      <c r="F8" s="401"/>
      <c r="G8" s="402"/>
      <c r="H8" s="403" t="s">
        <v>241</v>
      </c>
      <c r="I8" s="346"/>
      <c r="J8" s="382"/>
    </row>
    <row r="9" spans="1:10" ht="13.5" thickBot="1">
      <c r="C9" s="1"/>
      <c r="D9" s="1"/>
      <c r="E9" s="1"/>
      <c r="F9" s="1"/>
      <c r="G9" s="1"/>
      <c r="H9" s="1"/>
    </row>
    <row r="10" spans="1:10" ht="19.899999999999999" customHeight="1" thickBot="1">
      <c r="C10" s="279" t="s">
        <v>6</v>
      </c>
      <c r="D10" s="303"/>
      <c r="E10" s="303"/>
      <c r="F10" s="303"/>
      <c r="G10" s="303"/>
      <c r="H10" s="303"/>
      <c r="I10" s="303"/>
      <c r="J10" s="375"/>
    </row>
    <row r="11" spans="1:10" ht="46.5" customHeight="1" thickBot="1">
      <c r="C11" s="132" t="s">
        <v>10</v>
      </c>
      <c r="D11" s="383" t="s">
        <v>296</v>
      </c>
      <c r="E11" s="384"/>
      <c r="F11" s="384"/>
      <c r="G11" s="384"/>
      <c r="H11" s="384"/>
      <c r="I11" s="384"/>
      <c r="J11" s="385"/>
    </row>
    <row r="12" spans="1:10" ht="13" thickBot="1"/>
    <row r="13" spans="1:10" ht="19.899999999999999" customHeight="1" thickBot="1">
      <c r="C13" s="302" t="s">
        <v>8</v>
      </c>
      <c r="D13" s="303"/>
      <c r="E13" s="303"/>
      <c r="F13" s="303"/>
      <c r="G13" s="303"/>
      <c r="H13" s="303"/>
      <c r="I13" s="303"/>
      <c r="J13" s="375"/>
    </row>
    <row r="14" spans="1:10" ht="89.25" customHeight="1">
      <c r="C14" s="127" t="s">
        <v>9</v>
      </c>
      <c r="D14" s="333" t="s">
        <v>298</v>
      </c>
      <c r="E14" s="334"/>
      <c r="F14" s="334"/>
      <c r="G14" s="334"/>
      <c r="H14" s="334"/>
      <c r="I14" s="334"/>
      <c r="J14" s="377"/>
    </row>
    <row r="15" spans="1:10" ht="39" customHeight="1" thickBot="1">
      <c r="C15" s="125" t="s">
        <v>157</v>
      </c>
      <c r="D15" s="364" t="s">
        <v>297</v>
      </c>
      <c r="E15" s="365"/>
      <c r="F15" s="365"/>
      <c r="G15" s="365"/>
      <c r="H15" s="365"/>
      <c r="I15" s="365"/>
      <c r="J15" s="374"/>
    </row>
    <row r="16" spans="1:10">
      <c r="C16" s="2" t="s">
        <v>7</v>
      </c>
    </row>
    <row r="17" spans="2:10" ht="13" thickBot="1"/>
    <row r="18" spans="2:10" ht="19.899999999999999" customHeight="1" thickBot="1">
      <c r="C18" s="279" t="s">
        <v>20</v>
      </c>
      <c r="D18" s="280"/>
      <c r="E18" s="280"/>
      <c r="F18" s="280"/>
      <c r="G18" s="280"/>
      <c r="H18" s="280"/>
      <c r="I18" s="280"/>
      <c r="J18" s="363"/>
    </row>
    <row r="19" spans="2:10" ht="13.5" thickBot="1">
      <c r="C19" s="6"/>
      <c r="D19" s="5"/>
      <c r="E19" s="5"/>
      <c r="F19" s="5"/>
      <c r="G19" s="5"/>
      <c r="H19" s="5"/>
      <c r="I19" s="5"/>
      <c r="J19" s="5"/>
    </row>
    <row r="20" spans="2:10" ht="16" thickBot="1">
      <c r="B20" s="2" t="s">
        <v>98</v>
      </c>
      <c r="C20" s="397" t="s">
        <v>21</v>
      </c>
      <c r="D20" s="398"/>
      <c r="E20" s="398"/>
      <c r="F20" s="398"/>
      <c r="G20" s="398"/>
      <c r="H20" s="398"/>
      <c r="I20" s="398"/>
      <c r="J20" s="399"/>
    </row>
    <row r="21" spans="2:10" ht="33.5" customHeight="1" thickBot="1">
      <c r="B21" s="2" t="s">
        <v>99</v>
      </c>
      <c r="C21" s="13" t="str">
        <f>D8</f>
        <v>1 to 3</v>
      </c>
      <c r="D21" s="39" t="s">
        <v>332</v>
      </c>
      <c r="E21" s="39"/>
      <c r="F21" s="39" t="s">
        <v>330</v>
      </c>
      <c r="G21" s="39"/>
      <c r="H21" s="39" t="s">
        <v>256</v>
      </c>
      <c r="I21" s="39"/>
      <c r="J21" s="12" t="s">
        <v>86</v>
      </c>
    </row>
    <row r="22" spans="2:10" ht="25.5" thickBot="1">
      <c r="C22" s="112" t="s">
        <v>307</v>
      </c>
      <c r="D22" s="3">
        <v>3</v>
      </c>
      <c r="E22" s="34" t="s">
        <v>98</v>
      </c>
      <c r="F22" s="3">
        <v>2</v>
      </c>
      <c r="G22" s="34" t="s">
        <v>98</v>
      </c>
      <c r="H22" s="2">
        <v>1</v>
      </c>
      <c r="I22" s="34" t="s">
        <v>98</v>
      </c>
      <c r="J22" s="7"/>
    </row>
    <row r="23" spans="2:10" ht="13.5" customHeight="1" thickBot="1">
      <c r="C23" s="112" t="s">
        <v>307</v>
      </c>
      <c r="D23" s="3"/>
      <c r="E23" s="34"/>
      <c r="F23" s="3"/>
      <c r="G23" s="34"/>
      <c r="H23" s="3"/>
      <c r="I23" s="34" t="s">
        <v>98</v>
      </c>
      <c r="J23" s="7"/>
    </row>
    <row r="24" spans="2:10" ht="13.5" customHeight="1" thickBot="1">
      <c r="C24" s="112" t="s">
        <v>158</v>
      </c>
      <c r="D24" s="3"/>
      <c r="E24" s="34"/>
      <c r="F24" s="3"/>
      <c r="G24" s="34"/>
      <c r="H24" s="3"/>
      <c r="I24" s="34"/>
      <c r="J24" s="7"/>
    </row>
    <row r="25" spans="2:10" ht="13.5" customHeight="1" thickBot="1">
      <c r="C25" s="112" t="s">
        <v>158</v>
      </c>
      <c r="D25" s="3"/>
      <c r="E25" s="34"/>
      <c r="F25" s="3"/>
      <c r="G25" s="34"/>
      <c r="H25" s="3"/>
      <c r="I25" s="34"/>
      <c r="J25" s="7"/>
    </row>
    <row r="26" spans="2:10" ht="13.15" customHeight="1">
      <c r="C26" s="19" t="s">
        <v>16</v>
      </c>
      <c r="D26" s="307">
        <f>MIN(D22:D25)</f>
        <v>3</v>
      </c>
      <c r="E26" s="307"/>
      <c r="F26" s="307">
        <f>MIN(F22:F25)</f>
        <v>2</v>
      </c>
      <c r="G26" s="307"/>
      <c r="H26" s="307">
        <f>MIN(H22:H24)</f>
        <v>1</v>
      </c>
      <c r="I26" s="307"/>
      <c r="J26" s="9"/>
    </row>
    <row r="27" spans="2:10" ht="13.5" thickBot="1">
      <c r="C27" s="20" t="s">
        <v>17</v>
      </c>
      <c r="D27" s="352">
        <f>MAX(D22:D25)</f>
        <v>3</v>
      </c>
      <c r="E27" s="352"/>
      <c r="F27" s="352">
        <f>MAX(F22:F25)</f>
        <v>2</v>
      </c>
      <c r="G27" s="352"/>
      <c r="H27" s="352">
        <f>MAX(H22:H24)</f>
        <v>1</v>
      </c>
      <c r="I27" s="352"/>
      <c r="J27" s="7"/>
    </row>
    <row r="28" spans="2:10" ht="13.5" thickBot="1">
      <c r="C28" s="21" t="s">
        <v>72</v>
      </c>
      <c r="D28" s="338">
        <f>MEDIAN(D22:D25)</f>
        <v>3</v>
      </c>
      <c r="E28" s="338"/>
      <c r="F28" s="338">
        <f>MEDIAN(F22:F25)</f>
        <v>2</v>
      </c>
      <c r="G28" s="338"/>
      <c r="H28" s="338">
        <f>MEDIAN(H22:H25)</f>
        <v>1</v>
      </c>
      <c r="I28" s="338"/>
      <c r="J28" s="175"/>
    </row>
    <row r="29" spans="2:10" ht="13.5" thickBot="1">
      <c r="C29" s="20" t="s">
        <v>19</v>
      </c>
      <c r="D29" s="338">
        <f>AVERAGEIF(E22:E25,"Y",D22:D25)</f>
        <v>3</v>
      </c>
      <c r="E29" s="338"/>
      <c r="F29" s="338">
        <f>AVERAGEIF(G22:G25,"Y",F22:F25)</f>
        <v>2</v>
      </c>
      <c r="G29" s="338"/>
      <c r="H29" s="338">
        <f>AVERAGEIF(I22:I25,"Y",H22:H25)</f>
        <v>1</v>
      </c>
      <c r="I29" s="338"/>
      <c r="J29" s="175"/>
    </row>
    <row r="30" spans="2:10" ht="13.5" thickBot="1">
      <c r="C30" s="21" t="s">
        <v>18</v>
      </c>
      <c r="D30" s="336">
        <f>D29</f>
        <v>3</v>
      </c>
      <c r="E30" s="336"/>
      <c r="F30" s="336">
        <f t="shared" ref="F30" si="0">F29</f>
        <v>2</v>
      </c>
      <c r="G30" s="336"/>
      <c r="H30" s="336">
        <f t="shared" ref="H30" si="1">H29</f>
        <v>1</v>
      </c>
      <c r="I30" s="336"/>
      <c r="J30" s="176"/>
    </row>
  </sheetData>
  <mergeCells count="30">
    <mergeCell ref="D6:J6"/>
    <mergeCell ref="C18:J18"/>
    <mergeCell ref="D15:J15"/>
    <mergeCell ref="D7:J7"/>
    <mergeCell ref="D8:G8"/>
    <mergeCell ref="H8:J8"/>
    <mergeCell ref="C10:J10"/>
    <mergeCell ref="D11:J11"/>
    <mergeCell ref="D30:E30"/>
    <mergeCell ref="F30:G30"/>
    <mergeCell ref="H30:I30"/>
    <mergeCell ref="D28:E28"/>
    <mergeCell ref="F28:G28"/>
    <mergeCell ref="H28:I28"/>
    <mergeCell ref="C1:J1"/>
    <mergeCell ref="D29:E29"/>
    <mergeCell ref="F29:G29"/>
    <mergeCell ref="H29:I29"/>
    <mergeCell ref="D27:E27"/>
    <mergeCell ref="F27:G27"/>
    <mergeCell ref="H27:I27"/>
    <mergeCell ref="D26:E26"/>
    <mergeCell ref="F26:G26"/>
    <mergeCell ref="H26:I26"/>
    <mergeCell ref="C13:J13"/>
    <mergeCell ref="C20:J20"/>
    <mergeCell ref="D14:J14"/>
    <mergeCell ref="C2:J2"/>
    <mergeCell ref="D4:J4"/>
    <mergeCell ref="D5:J5"/>
  </mergeCells>
  <conditionalFormatting sqref="E22:E25 I22:I25 G22:G25">
    <cfRule type="cellIs" dxfId="3" priority="31" operator="equal">
      <formula>"N"</formula>
    </cfRule>
    <cfRule type="cellIs" dxfId="2" priority="32" operator="equal">
      <formula>"Y"</formula>
    </cfRule>
  </conditionalFormatting>
  <dataValidations count="1">
    <dataValidation type="list" allowBlank="1" showInputMessage="1" showErrorMessage="1" sqref="I22:I25 E22:E25 G22:G25" xr:uid="{00000000-0002-0000-1500-000000000000}">
      <formula1>$B$20:$B$21</formula1>
    </dataValidation>
  </dataValidation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8">
    <tabColor theme="5" tint="-0.249977111117893"/>
  </sheetPr>
  <dimension ref="A1:J29"/>
  <sheetViews>
    <sheetView showGridLines="0" zoomScale="88" zoomScaleNormal="88" workbookViewId="0">
      <selection activeCell="F29" sqref="F29"/>
    </sheetView>
  </sheetViews>
  <sheetFormatPr baseColWidth="10" defaultColWidth="11.54296875" defaultRowHeight="12.5"/>
  <cols>
    <col min="1" max="1" width="2.7265625" style="2" customWidth="1"/>
    <col min="2" max="2" width="2.7265625" style="2" hidden="1" customWidth="1"/>
    <col min="3" max="3" width="23.1796875" style="2" customWidth="1"/>
    <col min="4" max="4" width="11.54296875" style="2" customWidth="1"/>
    <col min="5" max="5" width="5.7265625" style="2" customWidth="1"/>
    <col min="6" max="6" width="11.54296875" style="2"/>
    <col min="7" max="7" width="4.54296875" style="2" customWidth="1"/>
    <col min="8" max="8" width="11.54296875" style="2"/>
    <col min="9" max="9" width="5" style="2" customWidth="1"/>
    <col min="10" max="16384" width="11.54296875" style="2"/>
  </cols>
  <sheetData>
    <row r="1" spans="1:10" ht="19.5" thickBot="1">
      <c r="C1" s="393" t="s">
        <v>177</v>
      </c>
      <c r="D1" s="394"/>
      <c r="E1" s="394"/>
      <c r="F1" s="394"/>
      <c r="G1" s="394"/>
      <c r="H1" s="394"/>
      <c r="I1" s="394"/>
      <c r="J1" s="394"/>
    </row>
    <row r="2" spans="1:10" ht="24" customHeight="1" thickBot="1">
      <c r="C2" s="294" t="str">
        <f>'1. Criteria'!C34</f>
        <v>Resource supply risks</v>
      </c>
      <c r="D2" s="295"/>
      <c r="E2" s="295"/>
      <c r="F2" s="295"/>
      <c r="G2" s="295"/>
      <c r="H2" s="295"/>
      <c r="I2" s="295"/>
      <c r="J2" s="295"/>
    </row>
    <row r="3" spans="1:10" ht="13.5" thickBot="1">
      <c r="C3" s="3"/>
      <c r="D3" s="3"/>
      <c r="E3" s="3"/>
      <c r="F3" s="3"/>
      <c r="G3" s="3"/>
      <c r="H3" s="4"/>
    </row>
    <row r="4" spans="1:10" ht="25.5" customHeight="1">
      <c r="C4" s="123" t="s">
        <v>132</v>
      </c>
      <c r="D4" s="349" t="s">
        <v>232</v>
      </c>
      <c r="E4" s="350"/>
      <c r="F4" s="350"/>
      <c r="G4" s="350"/>
      <c r="H4" s="350"/>
      <c r="I4" s="350"/>
      <c r="J4" s="369"/>
    </row>
    <row r="5" spans="1:10" ht="13">
      <c r="A5" s="2" t="s">
        <v>3</v>
      </c>
      <c r="C5" s="124" t="s">
        <v>1</v>
      </c>
      <c r="D5" s="331" t="s">
        <v>174</v>
      </c>
      <c r="E5" s="332"/>
      <c r="F5" s="332"/>
      <c r="G5" s="332"/>
      <c r="H5" s="332"/>
      <c r="I5" s="332"/>
      <c r="J5" s="370"/>
    </row>
    <row r="6" spans="1:10" ht="13">
      <c r="C6" s="124" t="s">
        <v>4</v>
      </c>
      <c r="D6" s="331" t="s">
        <v>133</v>
      </c>
      <c r="E6" s="332"/>
      <c r="F6" s="332"/>
      <c r="G6" s="332"/>
      <c r="H6" s="332"/>
      <c r="I6" s="332"/>
      <c r="J6" s="370"/>
    </row>
    <row r="7" spans="1:10" ht="13">
      <c r="C7" s="124" t="s">
        <v>2</v>
      </c>
      <c r="D7" s="331" t="s">
        <v>134</v>
      </c>
      <c r="E7" s="332"/>
      <c r="F7" s="332"/>
      <c r="G7" s="332"/>
      <c r="H7" s="332"/>
      <c r="I7" s="332"/>
      <c r="J7" s="370"/>
    </row>
    <row r="8" spans="1:10" ht="67.5" customHeight="1" thickBot="1">
      <c r="B8" s="23" t="s">
        <v>110</v>
      </c>
      <c r="C8" s="125" t="s">
        <v>5</v>
      </c>
      <c r="D8" s="345" t="s">
        <v>374</v>
      </c>
      <c r="E8" s="346"/>
      <c r="F8" s="346"/>
      <c r="G8" s="346"/>
      <c r="H8" s="327"/>
      <c r="I8" s="404" t="s">
        <v>373</v>
      </c>
      <c r="J8" s="405"/>
    </row>
    <row r="9" spans="1:10" ht="13.5" thickBot="1">
      <c r="C9" s="1"/>
      <c r="D9" s="1"/>
      <c r="E9" s="1"/>
      <c r="F9" s="1"/>
      <c r="G9" s="1"/>
      <c r="H9" s="1"/>
    </row>
    <row r="10" spans="1:10" ht="19.899999999999999" customHeight="1" thickBot="1">
      <c r="C10" s="279" t="s">
        <v>6</v>
      </c>
      <c r="D10" s="303"/>
      <c r="E10" s="303"/>
      <c r="F10" s="303"/>
      <c r="G10" s="303"/>
      <c r="H10" s="303"/>
      <c r="I10" s="303"/>
      <c r="J10" s="375"/>
    </row>
    <row r="11" spans="1:10" ht="64.5" customHeight="1" thickBot="1">
      <c r="C11" s="132" t="s">
        <v>10</v>
      </c>
      <c r="D11" s="383" t="s">
        <v>299</v>
      </c>
      <c r="E11" s="384"/>
      <c r="F11" s="384"/>
      <c r="G11" s="384"/>
      <c r="H11" s="384"/>
      <c r="I11" s="384"/>
      <c r="J11" s="385"/>
    </row>
    <row r="12" spans="1:10" ht="13" thickBot="1"/>
    <row r="13" spans="1:10" ht="19.899999999999999" customHeight="1" thickBot="1">
      <c r="C13" s="302" t="s">
        <v>8</v>
      </c>
      <c r="D13" s="303"/>
      <c r="E13" s="303"/>
      <c r="F13" s="303"/>
      <c r="G13" s="303"/>
      <c r="H13" s="303"/>
      <c r="I13" s="303"/>
      <c r="J13" s="375"/>
    </row>
    <row r="14" spans="1:10" ht="117.65" customHeight="1">
      <c r="C14" s="127" t="s">
        <v>9</v>
      </c>
      <c r="D14" s="333" t="s">
        <v>233</v>
      </c>
      <c r="E14" s="334"/>
      <c r="F14" s="334"/>
      <c r="G14" s="334"/>
      <c r="H14" s="334"/>
      <c r="I14" s="334"/>
      <c r="J14" s="377"/>
    </row>
    <row r="15" spans="1:10" ht="44.15" customHeight="1" thickBot="1">
      <c r="C15" s="125" t="s">
        <v>157</v>
      </c>
      <c r="D15" s="364" t="s">
        <v>303</v>
      </c>
      <c r="E15" s="365"/>
      <c r="F15" s="365"/>
      <c r="G15" s="365"/>
      <c r="H15" s="365"/>
      <c r="I15" s="365"/>
      <c r="J15" s="374"/>
    </row>
    <row r="16" spans="1:10">
      <c r="C16" s="2" t="s">
        <v>7</v>
      </c>
    </row>
    <row r="17" spans="2:10" ht="13" thickBot="1"/>
    <row r="18" spans="2:10" ht="19.899999999999999" customHeight="1" thickBot="1">
      <c r="C18" s="279" t="s">
        <v>20</v>
      </c>
      <c r="D18" s="280"/>
      <c r="E18" s="280"/>
      <c r="F18" s="280"/>
      <c r="G18" s="280"/>
      <c r="H18" s="280"/>
      <c r="I18" s="280"/>
      <c r="J18" s="363"/>
    </row>
    <row r="19" spans="2:10" ht="13.5" thickBot="1">
      <c r="C19" s="6"/>
      <c r="D19" s="5"/>
      <c r="E19" s="5"/>
      <c r="F19" s="5"/>
      <c r="G19" s="5"/>
      <c r="H19" s="5"/>
      <c r="I19" s="5"/>
      <c r="J19" s="5"/>
    </row>
    <row r="20" spans="2:10" ht="16" thickBot="1">
      <c r="B20" s="2" t="s">
        <v>98</v>
      </c>
      <c r="C20" s="282" t="s">
        <v>21</v>
      </c>
      <c r="D20" s="283"/>
      <c r="E20" s="283"/>
      <c r="F20" s="283"/>
      <c r="G20" s="283"/>
      <c r="H20" s="283"/>
      <c r="I20" s="283"/>
      <c r="J20" s="342"/>
    </row>
    <row r="21" spans="2:10" ht="14.5" customHeight="1" thickBot="1">
      <c r="B21" s="2" t="s">
        <v>99</v>
      </c>
      <c r="C21" s="13" t="str">
        <f>$D$8</f>
        <v>Ranking 1 to 5</v>
      </c>
      <c r="D21" s="39" t="s">
        <v>332</v>
      </c>
      <c r="E21" s="39"/>
      <c r="F21" s="39" t="s">
        <v>330</v>
      </c>
      <c r="G21" s="39"/>
      <c r="H21" s="39" t="s">
        <v>256</v>
      </c>
      <c r="I21" s="39"/>
      <c r="J21" s="12" t="s">
        <v>86</v>
      </c>
    </row>
    <row r="22" spans="2:10" ht="25.5" thickBot="1">
      <c r="C22" s="112" t="s">
        <v>307</v>
      </c>
      <c r="D22" s="37">
        <v>2</v>
      </c>
      <c r="E22" s="34" t="s">
        <v>98</v>
      </c>
      <c r="F22" s="3">
        <v>2</v>
      </c>
      <c r="G22" s="34" t="s">
        <v>98</v>
      </c>
      <c r="H22" s="3"/>
      <c r="I22" s="34"/>
      <c r="J22" s="7" t="s">
        <v>355</v>
      </c>
    </row>
    <row r="23" spans="2:10" ht="25.5" thickBot="1">
      <c r="C23" s="112" t="s">
        <v>307</v>
      </c>
      <c r="D23" s="37"/>
      <c r="E23" s="34"/>
      <c r="F23" s="3"/>
      <c r="G23" s="34"/>
      <c r="H23" s="3">
        <v>5</v>
      </c>
      <c r="I23" s="34" t="s">
        <v>98</v>
      </c>
      <c r="J23" s="7"/>
    </row>
    <row r="24" spans="2:10" ht="13.15" customHeight="1">
      <c r="C24" s="19" t="s">
        <v>16</v>
      </c>
      <c r="D24" s="313">
        <f>MIN(D22:D23)</f>
        <v>2</v>
      </c>
      <c r="E24" s="307"/>
      <c r="F24" s="313">
        <f>MIN(F22:F23)</f>
        <v>2</v>
      </c>
      <c r="G24" s="307"/>
      <c r="H24" s="313">
        <f>MIN(H22:H23)</f>
        <v>5</v>
      </c>
      <c r="I24" s="307"/>
      <c r="J24" s="173"/>
    </row>
    <row r="25" spans="2:10" ht="13.5" thickBot="1">
      <c r="C25" s="20" t="s">
        <v>17</v>
      </c>
      <c r="D25" s="359">
        <f>MAX(D22:D23)</f>
        <v>2</v>
      </c>
      <c r="E25" s="352"/>
      <c r="F25" s="359">
        <f>MAX(F22:F23)</f>
        <v>2</v>
      </c>
      <c r="G25" s="352"/>
      <c r="H25" s="359">
        <f>MAX(H22:H23)</f>
        <v>5</v>
      </c>
      <c r="I25" s="352"/>
      <c r="J25" s="172"/>
    </row>
    <row r="26" spans="2:10" ht="13.5" thickBot="1">
      <c r="C26" s="21" t="s">
        <v>72</v>
      </c>
      <c r="D26" s="338">
        <f>MEDIAN(D22:D23)</f>
        <v>2</v>
      </c>
      <c r="E26" s="338"/>
      <c r="F26" s="338">
        <f>MEDIAN(F22:F23)</f>
        <v>2</v>
      </c>
      <c r="G26" s="338"/>
      <c r="H26" s="338">
        <f>MEDIAN(H22:H23)</f>
        <v>5</v>
      </c>
      <c r="I26" s="338"/>
      <c r="J26" s="175"/>
    </row>
    <row r="27" spans="2:10" ht="13.5" thickBot="1">
      <c r="C27" s="20" t="s">
        <v>19</v>
      </c>
      <c r="D27" s="338">
        <f>AVERAGEIF(E22:E23,"Y",D22:D23)</f>
        <v>2</v>
      </c>
      <c r="E27" s="338"/>
      <c r="F27" s="338">
        <f>AVERAGEIF(G22:G23,"Y",F22:F23)</f>
        <v>2</v>
      </c>
      <c r="G27" s="338"/>
      <c r="H27" s="338">
        <f>AVERAGEIF(I22:I23,"Y",H22:H23)</f>
        <v>5</v>
      </c>
      <c r="I27" s="338"/>
      <c r="J27" s="175"/>
    </row>
    <row r="28" spans="2:10" ht="13.5" thickBot="1">
      <c r="C28" s="21" t="s">
        <v>18</v>
      </c>
      <c r="D28" s="336">
        <f>D27</f>
        <v>2</v>
      </c>
      <c r="E28" s="336"/>
      <c r="F28" s="336">
        <f t="shared" ref="F28" si="0">F27</f>
        <v>2</v>
      </c>
      <c r="G28" s="336"/>
      <c r="H28" s="336">
        <f t="shared" ref="H28" si="1">H27</f>
        <v>5</v>
      </c>
      <c r="I28" s="336"/>
      <c r="J28" s="176"/>
    </row>
    <row r="29" spans="2:10" ht="13">
      <c r="C29" s="1"/>
      <c r="D29" s="3"/>
      <c r="E29" s="3"/>
      <c r="F29" s="3"/>
      <c r="G29" s="3"/>
      <c r="H29" s="3"/>
      <c r="I29" s="3"/>
      <c r="J29" s="3"/>
    </row>
  </sheetData>
  <mergeCells count="30">
    <mergeCell ref="F24:G24"/>
    <mergeCell ref="H24:I24"/>
    <mergeCell ref="D15:J15"/>
    <mergeCell ref="C2:J2"/>
    <mergeCell ref="D4:J4"/>
    <mergeCell ref="D5:J5"/>
    <mergeCell ref="D6:J6"/>
    <mergeCell ref="D7:J7"/>
    <mergeCell ref="C10:J10"/>
    <mergeCell ref="D11:J11"/>
    <mergeCell ref="C13:J13"/>
    <mergeCell ref="D14:J14"/>
    <mergeCell ref="D8:H8"/>
    <mergeCell ref="I8:J8"/>
    <mergeCell ref="C1:J1"/>
    <mergeCell ref="D28:E28"/>
    <mergeCell ref="F28:G28"/>
    <mergeCell ref="H28:I28"/>
    <mergeCell ref="D26:E26"/>
    <mergeCell ref="F26:G26"/>
    <mergeCell ref="H26:I26"/>
    <mergeCell ref="D27:E27"/>
    <mergeCell ref="F27:G27"/>
    <mergeCell ref="H27:I27"/>
    <mergeCell ref="D25:E25"/>
    <mergeCell ref="F25:G25"/>
    <mergeCell ref="H25:I25"/>
    <mergeCell ref="C18:J18"/>
    <mergeCell ref="C20:J20"/>
    <mergeCell ref="D24:E24"/>
  </mergeCells>
  <conditionalFormatting sqref="I22:I23 G22:G23 E22:E23">
    <cfRule type="cellIs" dxfId="1" priority="5" operator="equal">
      <formula>"N"</formula>
    </cfRule>
    <cfRule type="cellIs" dxfId="0" priority="6" operator="equal">
      <formula>"Y"</formula>
    </cfRule>
  </conditionalFormatting>
  <dataValidations count="1">
    <dataValidation type="list" allowBlank="1" showInputMessage="1" showErrorMessage="1" sqref="G22:G23 I22:I23 E22:E23" xr:uid="{00000000-0002-0000-1600-000000000000}">
      <formula1>$B$20:$B$21</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28</vt:i4>
      </vt:variant>
    </vt:vector>
  </HeadingPairs>
  <TitlesOfParts>
    <vt:vector size="28" baseType="lpstr">
      <vt:lpstr>User guide</vt:lpstr>
      <vt:lpstr>1. Criteria</vt:lpstr>
      <vt:lpstr>2. &amp; 3. Weighting</vt:lpstr>
      <vt:lpstr>4. Indicator_example</vt:lpstr>
      <vt:lpstr>Normalization</vt:lpstr>
      <vt:lpstr>Ranking_calc</vt:lpstr>
      <vt:lpstr>ECO1</vt:lpstr>
      <vt:lpstr>ECO2</vt:lpstr>
      <vt:lpstr>ECO3</vt:lpstr>
      <vt:lpstr>ECO4</vt:lpstr>
      <vt:lpstr>ECO5</vt:lpstr>
      <vt:lpstr>ENV1</vt:lpstr>
      <vt:lpstr>ENV2</vt:lpstr>
      <vt:lpstr>ENV3</vt:lpstr>
      <vt:lpstr>ENV4</vt:lpstr>
      <vt:lpstr>SOCI1</vt:lpstr>
      <vt:lpstr>SOCI2</vt:lpstr>
      <vt:lpstr>SOCI3</vt:lpstr>
      <vt:lpstr>SOCI4</vt:lpstr>
      <vt:lpstr>SOCI5</vt:lpstr>
      <vt:lpstr>TECH1</vt:lpstr>
      <vt:lpstr>TECH2</vt:lpstr>
      <vt:lpstr>TECH3</vt:lpstr>
      <vt:lpstr>TECH4</vt:lpstr>
      <vt:lpstr>TECH5</vt:lpstr>
      <vt:lpstr>RISK1</vt:lpstr>
      <vt:lpstr>RISK2</vt:lpstr>
      <vt:lpstr>RISK3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François</dc:creator>
  <cp:lastModifiedBy>Nikolas Schöne</cp:lastModifiedBy>
  <dcterms:created xsi:type="dcterms:W3CDTF">2015-06-05T18:19:34Z</dcterms:created>
  <dcterms:modified xsi:type="dcterms:W3CDTF">2023-05-31T13:19:28Z</dcterms:modified>
</cp:coreProperties>
</file>